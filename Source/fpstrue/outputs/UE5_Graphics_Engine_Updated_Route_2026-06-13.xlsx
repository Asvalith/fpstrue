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4"/>
  </bookViews>
  <sheets>
    <sheet name="总览" sheetId="1" r:id="rId1"/>
    <sheet name="阶段路线" sheetId="2" r:id="rId2"/>
    <sheet name="每日执行" sheetId="3" r:id="rId3"/>
    <sheet name="周检查" sheetId="4" r:id="rId4"/>
    <sheet name="作品集打包" sheetId="5" r:id="rId5"/>
    <sheet name="知识地图" sheetId="6" r:id="rId6"/>
    <sheet name="投递记录" sheetId="7" r:id="rId7"/>
    <sheet name="进度仪表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<sst xmlns="http://schemas.openxmlformats.org/spreadsheetml/2006/main" count="789" uniqueCount="390">
  <si>
    <t>UE5 图形 / 引擎 / 渲染求职路线总控表</t>
  </si>
  <si>
    <t>字段</t>
  </si>
  <si>
    <t>内容</t>
  </si>
  <si>
    <t>说明</t>
  </si>
  <si>
    <t>当前策略</t>
  </si>
  <si>
    <t>开始日期</t>
  </si>
  <si>
    <t>2026-06-13</t>
  </si>
  <si>
    <t>目标窗口</t>
  </si>
  <si>
    <t>2026-08-31</t>
  </si>
  <si>
    <t>主线</t>
  </si>
  <si>
    <t>UE5 图形 / 渲染工程师</t>
  </si>
  <si>
    <t>优先级最高</t>
  </si>
  <si>
    <t>Path Tracer + UE 渲染/性能证据</t>
  </si>
  <si>
    <t>主作品</t>
  </si>
  <si>
    <t>CPU Path Tracer</t>
  </si>
  <si>
    <t>状态</t>
  </si>
  <si>
    <t>进行中</t>
  </si>
  <si>
    <t>副线</t>
  </si>
  <si>
    <t>UE 引擎 / Gameplay C++</t>
  </si>
  <si>
    <t>系统能力证明</t>
  </si>
  <si>
    <t>FPS 只做技术载体</t>
  </si>
  <si>
    <t>副作品</t>
  </si>
  <si>
    <t>UE5 FPS C++ Demo</t>
  </si>
  <si>
    <t>保底</t>
  </si>
  <si>
    <t>技术型客户端（渲染方向）</t>
  </si>
  <si>
    <t>避免纯业务客户端</t>
  </si>
  <si>
    <t>强调 C++ / UE / 性能 / 渲染</t>
  </si>
  <si>
    <t>加分项</t>
  </si>
  <si>
    <t>UE Shader / Profiling</t>
  </si>
  <si>
    <t>未开始</t>
  </si>
  <si>
    <t>总原则</t>
  </si>
  <si>
    <t>不要三线平均推进</t>
  </si>
  <si>
    <t>每天只保留一个主任务</t>
  </si>
  <si>
    <t>证据驱动：commit / 图 / 视频 / README / benchmark</t>
  </si>
  <si>
    <t>算法</t>
  </si>
  <si>
    <t>中等题稳定 + 少量 Hard</t>
  </si>
  <si>
    <t>八股</t>
  </si>
  <si>
    <t>绑定项目表达</t>
  </si>
  <si>
    <t>阶段门槛</t>
  </si>
  <si>
    <t>7/31 前作品集成型</t>
  </si>
  <si>
    <t>8/01 起小规模投递</t>
  </si>
  <si>
    <t>投递中继续补项目答辩</t>
  </si>
  <si>
    <t>风险</t>
  </si>
  <si>
    <t>FPS 吞掉图形主线</t>
  </si>
  <si>
    <t>处理</t>
  </si>
  <si>
    <t>Path Tracer 优先</t>
  </si>
  <si>
    <t>优先级</t>
  </si>
  <si>
    <t>任务</t>
  </si>
  <si>
    <t>定位</t>
  </si>
  <si>
    <t>验收标准</t>
  </si>
  <si>
    <t>输出证据</t>
  </si>
  <si>
    <t>目标日期</t>
  </si>
  <si>
    <t>是否阻塞投递</t>
  </si>
  <si>
    <t>备注</t>
  </si>
  <si>
    <t>P0</t>
  </si>
  <si>
    <t>Path Tracer 强项目</t>
  </si>
  <si>
    <t>主投图形岗核心证据</t>
  </si>
  <si>
    <t>材质 + BVH + 多线程 + benchmark</t>
  </si>
  <si>
    <t>渲染图 / 性能表 / README</t>
  </si>
  <si>
    <t>2026-07-05</t>
  </si>
  <si>
    <t>是</t>
  </si>
  <si>
    <t>未完成前不扩 Deferred</t>
  </si>
  <si>
    <t>FPS 单机技术 Demo</t>
  </si>
  <si>
    <t>UE C++ 系统载体</t>
  </si>
  <si>
    <t>开火命中扣血死亡弹药换弹 + 录屏</t>
  </si>
  <si>
    <t>60-90 秒视频 / README</t>
  </si>
  <si>
    <t>2026-06-20</t>
  </si>
  <si>
    <t>只做展示闭环</t>
  </si>
  <si>
    <t>P1</t>
  </si>
  <si>
    <t>UE 渲染/性能 Demo</t>
  </si>
  <si>
    <t>贴合 UE 渲染 JD</t>
  </si>
  <si>
    <t>Shader/PostProcess 或 Insights 分析</t>
  </si>
  <si>
    <t>截图 / 分析文档</t>
  </si>
  <si>
    <t>2026-07-19</t>
  </si>
  <si>
    <t>否</t>
  </si>
  <si>
    <t>小而硬即可</t>
  </si>
  <si>
    <t>执行提醒：旧计划中 2026-05-31 到 2026-06-12 的任务不补债。从 2026-06-13 重新起算，未完成内容只保留能支撑作品集的必要产物。</t>
  </si>
  <si>
    <t>阶段路线（2026-06-13 起）</t>
  </si>
  <si>
    <t>阶段</t>
  </si>
  <si>
    <t>时间</t>
  </si>
  <si>
    <t>主目标</t>
  </si>
  <si>
    <t>必须产出</t>
  </si>
  <si>
    <t>具体任务</t>
  </si>
  <si>
    <t>风险控制</t>
  </si>
  <si>
    <t>S1</t>
  </si>
  <si>
    <t>6/13-6/20</t>
  </si>
  <si>
    <t>FPS 单机闭环封版 + Path Tracer MVP</t>
  </si>
  <si>
    <t>FPS 录屏；PT 第一张图</t>
  </si>
  <si>
    <t>LineTrace / Ammo / Reload / Health / Death；Vec3 / Ray / Camera / Sphere / Image output</t>
  </si>
  <si>
    <t>有视频、有图、有 README 初稿</t>
  </si>
  <si>
    <t>FPS 不扩联机，不做大地图</t>
  </si>
  <si>
    <t>S2</t>
  </si>
  <si>
    <t>6/21-7/05</t>
  </si>
  <si>
    <t>Path Tracer 主攻</t>
  </si>
  <si>
    <t>材质、BVH、多线程、benchmark</t>
  </si>
  <si>
    <t>Lambert / Metal / Dielectric / AA / AABB / BVH / thread pool</t>
  </si>
  <si>
    <t>渲染图可展示，性能对比清楚</t>
  </si>
  <si>
    <t>Deferred 暂停，算法降噪</t>
  </si>
  <si>
    <t>S3</t>
  </si>
  <si>
    <t>7/06-7/19</t>
  </si>
  <si>
    <t>Shader/PostProcess 或 Profiling 分析</t>
  </si>
  <si>
    <t>PostProcess 参数化；RenderDoc/Insights 记录瓶颈；优化前后对比</t>
  </si>
  <si>
    <t>有截图、有分析、有结论</t>
  </si>
  <si>
    <t>只做小而硬，不做大系统</t>
  </si>
  <si>
    <t>S4</t>
  </si>
  <si>
    <t>7/20-7/31</t>
  </si>
  <si>
    <t>作品集封装</t>
  </si>
  <si>
    <t>简历、视频、截图、README、答辩稿</t>
  </si>
  <si>
    <t>整理项目结构图；补 benchmark；写 30-50 个项目追问</t>
  </si>
  <si>
    <t>可以投递和讲解</t>
  </si>
  <si>
    <t>不再新增功能</t>
  </si>
  <si>
    <t>S5</t>
  </si>
  <si>
    <t>8/01-8/31</t>
  </si>
  <si>
    <t>投递 + 面试冲刺</t>
  </si>
  <si>
    <t>每周 10-20 投递；模拟面试</t>
  </si>
  <si>
    <t>主投图形/引擎；保底技术客户端；持续补项目答辩</t>
  </si>
  <si>
    <t>每周有投递记录和复盘</t>
  </si>
  <si>
    <t>项目维护只修关键 bug</t>
  </si>
  <si>
    <t>每日执行模板（每天只做一个主任务）</t>
  </si>
  <si>
    <t>日期</t>
  </si>
  <si>
    <t>星期</t>
  </si>
  <si>
    <t>主任务</t>
  </si>
  <si>
    <t>小任务</t>
  </si>
  <si>
    <t>今日证据</t>
  </si>
  <si>
    <t>计划小时</t>
  </si>
  <si>
    <t>实际证据/链接</t>
  </si>
  <si>
    <t>复盘备注</t>
  </si>
  <si>
    <t>Sat</t>
  </si>
  <si>
    <t>FPS：武器表现层 Montage / 枪声 / 枪口火焰择优完成</t>
  </si>
  <si>
    <t>算法 1 题 + C++ 追问 3 个</t>
  </si>
  <si>
    <t>commit + 截图</t>
  </si>
  <si>
    <t/>
  </si>
  <si>
    <t>2026-06-14</t>
  </si>
  <si>
    <t>Sun</t>
  </si>
  <si>
    <t>FPS：后坐力 / Camera recoil / 开火状态整理</t>
  </si>
  <si>
    <t>UE Actor/Component 生命周期复盘</t>
  </si>
  <si>
    <t>commit + 录屏片段</t>
  </si>
  <si>
    <t>2026-06-15</t>
  </si>
  <si>
    <t>Mon</t>
  </si>
  <si>
    <t>FPS：单机闭环 bug 修复，整理 README 系统图</t>
  </si>
  <si>
    <t>中等算法 1-2 题</t>
  </si>
  <si>
    <t>README 初稿</t>
  </si>
  <si>
    <t>2026-06-16</t>
  </si>
  <si>
    <t>Tue</t>
  </si>
  <si>
    <t>Path Tracer：Vec3 / Ray / Camera / Image output</t>
  </si>
  <si>
    <t>图形管线笔记 30min</t>
  </si>
  <si>
    <t>第一张空图/渐变图</t>
  </si>
  <si>
    <t>2026-06-17</t>
  </si>
  <si>
    <t>Wed</t>
  </si>
  <si>
    <t>Path Tracer：Sphere intersect + normal visualization</t>
  </si>
  <si>
    <t>C++ move / RAII 复盘</t>
  </si>
  <si>
    <t>球体/法线图</t>
  </si>
  <si>
    <t>2026-06-18</t>
  </si>
  <si>
    <t>Thu</t>
  </si>
  <si>
    <t>Path Tracer：simple diffuse + sampling</t>
  </si>
  <si>
    <t>算法 1-2 题</t>
  </si>
  <si>
    <t>diffuse 渲染图</t>
  </si>
  <si>
    <t>2026-06-19</t>
  </si>
  <si>
    <t>Fri</t>
  </si>
  <si>
    <t>FPS：录屏、截图、README 收口</t>
  </si>
  <si>
    <t>项目追问 5 个</t>
  </si>
  <si>
    <t>60-90 秒录屏</t>
  </si>
  <si>
    <t>阶段复盘：FPS 封版 + PT MVP 整理</t>
  </si>
  <si>
    <t>Hot100 错题复盘</t>
  </si>
  <si>
    <t>周复盘 + 下周三件事</t>
  </si>
  <si>
    <t>2026-06-21</t>
  </si>
  <si>
    <t>Path Tracer：Lambert / Metal</t>
  </si>
  <si>
    <t>C++ 内存模型</t>
  </si>
  <si>
    <t>材质对比图</t>
  </si>
  <si>
    <t>2026-06-22</t>
  </si>
  <si>
    <t>Path Tracer：Dielectric / 折射</t>
  </si>
  <si>
    <t>玻璃材质图</t>
  </si>
  <si>
    <t>2026-06-23</t>
  </si>
  <si>
    <t>Path Tracer：AA / samples per pixel 参数化</t>
  </si>
  <si>
    <t>图形 BRDF 笔记</t>
  </si>
  <si>
    <t>噪声对比图</t>
  </si>
  <si>
    <t>2026-06-24</t>
  </si>
  <si>
    <t>Path Tracer：AABB / BVH build</t>
  </si>
  <si>
    <t>OS 线程/锁</t>
  </si>
  <si>
    <t>BVH 构建 commit</t>
  </si>
  <si>
    <t>2026-06-25</t>
  </si>
  <si>
    <t>Path Tracer：BVH traversal + benchmark</t>
  </si>
  <si>
    <t>算法 1 题</t>
  </si>
  <si>
    <t>性能表</t>
  </si>
  <si>
    <t>2026-06-26</t>
  </si>
  <si>
    <t>Path Tracer：多线程渲染</t>
  </si>
  <si>
    <t>C++ thread / mutex</t>
  </si>
  <si>
    <t>线程数对比</t>
  </si>
  <si>
    <t>规则：每天只保留 1 个主任务 + 1 个小任务 + 1 个证据。旧表里的 15 个 checklist item 作为任务池，不作为每日必须完成清单。</t>
  </si>
  <si>
    <t>周检查与阶段门槛</t>
  </si>
  <si>
    <t>周次</t>
  </si>
  <si>
    <t>日期范围</t>
  </si>
  <si>
    <t>本周主目标</t>
  </si>
  <si>
    <t>必须交付</t>
  </si>
  <si>
    <t>FPS 目标</t>
  </si>
  <si>
    <t>图形目标</t>
  </si>
  <si>
    <t>完成度</t>
  </si>
  <si>
    <t>证据链接/备注</t>
  </si>
  <si>
    <t>FPS 封版 + PT MVP</t>
  </si>
  <si>
    <t>单机闭环、表现层择优</t>
  </si>
  <si>
    <t>Ray/Camera/Sphere/Image</t>
  </si>
  <si>
    <t>6/21-6/27</t>
  </si>
  <si>
    <t>Path Tracer 材质 + BVH</t>
  </si>
  <si>
    <t>材质图；BVH commit</t>
  </si>
  <si>
    <t>只修 bug</t>
  </si>
  <si>
    <t>Lambert/Metal/Dielectric/AABB/BVH</t>
  </si>
  <si>
    <t>6/28-7/05</t>
  </si>
  <si>
    <t>Path Tracer 多线程 + benchmark</t>
  </si>
  <si>
    <t>最终图；性能表；README</t>
  </si>
  <si>
    <t>只维护展示</t>
  </si>
  <si>
    <t>多线程、benchmark、文档</t>
  </si>
  <si>
    <t>7/06-7/12</t>
  </si>
  <si>
    <t>UE 渲染/性能 Demo v1</t>
  </si>
  <si>
    <t>Profiling 素材</t>
  </si>
  <si>
    <t>UE 渲染证据</t>
  </si>
  <si>
    <t>7/13-7/19</t>
  </si>
  <si>
    <t>UE 渲染/性能 Demo 收口</t>
  </si>
  <si>
    <t>截图；分析文档；优化前后对比</t>
  </si>
  <si>
    <t>展示修复</t>
  </si>
  <si>
    <t>小而硬封版</t>
  </si>
  <si>
    <t>7/20-7/26</t>
  </si>
  <si>
    <t>作品集打包 v1</t>
  </si>
  <si>
    <t>简历 v1；视频；README</t>
  </si>
  <si>
    <t>项目结构图</t>
  </si>
  <si>
    <t>图形项目答辩稿</t>
  </si>
  <si>
    <t>7/27-7/31</t>
  </si>
  <si>
    <t>投递前封版</t>
  </si>
  <si>
    <t>作品集完整包</t>
  </si>
  <si>
    <t>不新增功能</t>
  </si>
  <si>
    <t>每周投递 10-20；模拟面试</t>
  </si>
  <si>
    <t>答辩维护</t>
  </si>
  <si>
    <t>作品集打包清单</t>
  </si>
  <si>
    <t>作品</t>
  </si>
  <si>
    <t>必须材料</t>
  </si>
  <si>
    <t>技术亮点</t>
  </si>
  <si>
    <t>主投图形岗核心项目</t>
  </si>
  <si>
    <t>渲染图、性能表、README、架构图</t>
  </si>
  <si>
    <t>BVH、多线程、材质、采样、benchmark</t>
  </si>
  <si>
    <t>简历第一项目</t>
  </si>
  <si>
    <t>60-90 秒视频、README、关键类说明</t>
  </si>
  <si>
    <t>Component、输入、状态、伤害、弹药、性能意识</t>
  </si>
  <si>
    <t>不要扩成玩法项目</t>
  </si>
  <si>
    <t>UE Shader / Profiling Demo</t>
  </si>
  <si>
    <t>贴合 UE 渲染岗位</t>
  </si>
  <si>
    <t>截图、RenderDoc/Insights 记录、分析文档</t>
  </si>
  <si>
    <t>渲染管线位置、瓶颈定位、优化前后对比</t>
  </si>
  <si>
    <t>二选一小而硬</t>
  </si>
  <si>
    <t>简历项目描述</t>
  </si>
  <si>
    <t>投递材料</t>
  </si>
  <si>
    <t>三段式项目描述</t>
  </si>
  <si>
    <t>背景、职责、结果、数据</t>
  </si>
  <si>
    <t>2026-07-26</t>
  </si>
  <si>
    <t>量化输出</t>
  </si>
  <si>
    <t>项目答辩稿</t>
  </si>
  <si>
    <t>面试材料</t>
  </si>
  <si>
    <t>30-50 个追问</t>
  </si>
  <si>
    <t>为什么这么设计、瓶颈在哪、还能怎么优化</t>
  </si>
  <si>
    <t>2026-07-31</t>
  </si>
  <si>
    <t>绑定源码和截图</t>
  </si>
  <si>
    <t>演示视频</t>
  </si>
  <si>
    <t>展示材料</t>
  </si>
  <si>
    <t>FPS 视频、PT 图、UE 渲染 demo GIF/截图</t>
  </si>
  <si>
    <t>一眼看懂成果</t>
  </si>
  <si>
    <t>每个项目 60-90 秒</t>
  </si>
  <si>
    <t>投递记录表</t>
  </si>
  <si>
    <t>求职管理</t>
  </si>
  <si>
    <t>岗位、JD、匹配点、状态</t>
  </si>
  <si>
    <t>主投/次投/保底分层</t>
  </si>
  <si>
    <t>2026-08-01</t>
  </si>
  <si>
    <t>每周复盘</t>
  </si>
  <si>
    <t>README 首页</t>
  </si>
  <si>
    <t>作品入口</t>
  </si>
  <si>
    <t>项目目录、截图、构建方式、技术说明</t>
  </si>
  <si>
    <t>让面试官 1 分钟定位价值</t>
  </si>
  <si>
    <t>英文标题可选</t>
  </si>
  <si>
    <t>benchmark 表</t>
  </si>
  <si>
    <t>图形硬证据</t>
  </si>
  <si>
    <t>BVH 前后、多线程前后、样本数对比</t>
  </si>
  <si>
    <t>数据化表达性能</t>
  </si>
  <si>
    <t>Path Tracer 必备</t>
  </si>
  <si>
    <t>源码清理</t>
  </si>
  <si>
    <t>工程质量</t>
  </si>
  <si>
    <t>目录、命名、注释、构建脚本</t>
  </si>
  <si>
    <t>可读、可跑、可讲</t>
  </si>
  <si>
    <t>只清关键路径</t>
  </si>
  <si>
    <t>截图资产</t>
  </si>
  <si>
    <t>视觉证据</t>
  </si>
  <si>
    <t>FPS、PT、UE Demo 截图</t>
  </si>
  <si>
    <t>清晰、命名规范</t>
  </si>
  <si>
    <t>放 README</t>
  </si>
  <si>
    <t>岗位匹配说明</t>
  </si>
  <si>
    <t>面试表达</t>
  </si>
  <si>
    <t>图形/引擎/客户端三套说法</t>
  </si>
  <si>
    <t>同一作品不同侧重点</t>
  </si>
  <si>
    <t>防止简历发散</t>
  </si>
  <si>
    <t>知识地图（绑定项目表达）</t>
  </si>
  <si>
    <t>模块</t>
  </si>
  <si>
    <t>重点内容</t>
  </si>
  <si>
    <t>绑定项目</t>
  </si>
  <si>
    <t>面试表达目标</t>
  </si>
  <si>
    <t>证据</t>
  </si>
  <si>
    <t>C++</t>
  </si>
  <si>
    <t>RAII、虚表、智能指针、move、STL、内存布局、多线程</t>
  </si>
  <si>
    <t>FPS / Path Tracer</t>
  </si>
  <si>
    <t>能从项目代码讲对象生命周期和性能取舍</t>
  </si>
  <si>
    <t>源码 + 追问稿</t>
  </si>
  <si>
    <t>UE</t>
  </si>
  <si>
    <t>Actor 生命周期、Component、Tick、GC、Input、Replication/RPC</t>
  </si>
  <si>
    <t>FPS</t>
  </si>
  <si>
    <t>能讲清调用链和系统拆分</t>
  </si>
  <si>
    <t>README 系统图</t>
  </si>
  <si>
    <t>图形</t>
  </si>
  <si>
    <t>渲染管线、BRDF、BVH、采样、PBR、Deferred、SSAO、Shadow</t>
  </si>
  <si>
    <t>Path Tracer / UE Demo</t>
  </si>
  <si>
    <t>能讲数学、效果、性能三层</t>
  </si>
  <si>
    <t>图 + benchmark</t>
  </si>
  <si>
    <t>性能</t>
  </si>
  <si>
    <t>Unreal Insights、RenderDoc、CPU/GPU 瓶颈、Tick 优化</t>
  </si>
  <si>
    <t>UE Demo / FPS</t>
  </si>
  <si>
    <t>能定位瓶颈并给出优化前后对比</t>
  </si>
  <si>
    <t>分析文档</t>
  </si>
  <si>
    <t>网络</t>
  </si>
  <si>
    <t>TCP/UDP、状态同步、RPC、客户端预测、服务端权威</t>
  </si>
  <si>
    <t>FPS 后续扩展</t>
  </si>
  <si>
    <t>保底引擎/客户端可讲</t>
  </si>
  <si>
    <t>设计文档</t>
  </si>
  <si>
    <t>OS</t>
  </si>
  <si>
    <t>线程、锁、虚拟内存、调度、缓存局部性</t>
  </si>
  <si>
    <t>Path Tracer 多线程</t>
  </si>
  <si>
    <t>从渲染性能讲系统基础</t>
  </si>
  <si>
    <t>benchmark 解释</t>
  </si>
  <si>
    <t>Hot100、图、DP、双指针、BFS/DFS、堆、贪心</t>
  </si>
  <si>
    <t>面试手撕</t>
  </si>
  <si>
    <t>中等题稳定，Hard 少量高频</t>
  </si>
  <si>
    <t>错题表</t>
  </si>
  <si>
    <t>项目答辩</t>
  </si>
  <si>
    <t>为什么这样设计、瓶颈在哪、替代方案是什么</t>
  </si>
  <si>
    <t>全部项目</t>
  </si>
  <si>
    <t>每个项目 10-15 个高质量追问</t>
  </si>
  <si>
    <t>答辩稿</t>
  </si>
  <si>
    <t>岗位匹配</t>
  </si>
  <si>
    <t>图形主投、引擎次投、技术客户端保底</t>
  </si>
  <si>
    <t>简历/投递</t>
  </si>
  <si>
    <t>同一作品按岗位重写表达</t>
  </si>
  <si>
    <t>投递记录</t>
  </si>
  <si>
    <t>英文材料</t>
  </si>
  <si>
    <t>README 标题、术语、图注</t>
  </si>
  <si>
    <t>作品集</t>
  </si>
  <si>
    <t>让项目看起来工程化</t>
  </si>
  <si>
    <t>P2</t>
  </si>
  <si>
    <t>README</t>
  </si>
  <si>
    <t>投递记录（8/01 起使用）</t>
  </si>
  <si>
    <t>公司</t>
  </si>
  <si>
    <t>岗位</t>
  </si>
  <si>
    <t>层级</t>
  </si>
  <si>
    <t>JD 关键词</t>
  </si>
  <si>
    <t>匹配作品</t>
  </si>
  <si>
    <t>下一步</t>
  </si>
  <si>
    <t>图形/渲染工程师</t>
  </si>
  <si>
    <t>主投</t>
  </si>
  <si>
    <t>C++ / Shader / Rendering / Profiling</t>
  </si>
  <si>
    <t>Path Tracer + UE Demo</t>
  </si>
  <si>
    <t>未投递</t>
  </si>
  <si>
    <t>UE 引擎开发</t>
  </si>
  <si>
    <t>次投</t>
  </si>
  <si>
    <t>UE C++ / Gameplay / Performance / Replication</t>
  </si>
  <si>
    <t>FPS + UE Demo</t>
  </si>
  <si>
    <t>游戏客户端（渲染方向）</t>
  </si>
  <si>
    <t>C++ / UE / Rendering / Optimization</t>
  </si>
  <si>
    <t>FPS + Path Tracer</t>
  </si>
  <si>
    <t>进度仪表</t>
  </si>
  <si>
    <t>指标</t>
  </si>
  <si>
    <t>公式/值</t>
  </si>
  <si>
    <t>目标含义</t>
  </si>
  <si>
    <t>阶段总数</t>
  </si>
  <si>
    <t>S1-S5</t>
  </si>
  <si>
    <t>S1 FPS + PT MVP</t>
  </si>
  <si>
    <t>阶段完成</t>
  </si>
  <si>
    <t>完成阶段数</t>
  </si>
  <si>
    <t>S2 PT 主攻</t>
  </si>
  <si>
    <t>阶段完成率</t>
  </si>
  <si>
    <t>路线总体进度</t>
  </si>
  <si>
    <t>S3 UE Demo</t>
  </si>
  <si>
    <t>作品项总数</t>
  </si>
  <si>
    <t>打包清单数量</t>
  </si>
  <si>
    <t>S4 作品封装</t>
  </si>
  <si>
    <t>作品完成</t>
  </si>
  <si>
    <t>已完成作品材料</t>
  </si>
  <si>
    <t>S5 投递冲刺</t>
  </si>
  <si>
    <t>仪表页会随“阶段路线”和“作品集打包”的状态变化更新。若公式在某些 Excel 版本中显示为文本，可直接参考对应表的状态列。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</si>
</sst>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3" applyNumberFormat="0" applyAlignment="0" applyProtection="0">
      <alignment vertical="center"/>
    </xf>
    <xf numFmtId="0" fontId="14" fillId="10" borderId="14" applyNumberFormat="0" applyAlignment="0" applyProtection="0">
      <alignment vertical="center"/>
    </xf>
    <xf numFmtId="0" fontId="15" fillId="10" borderId="13" applyNumberFormat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9" fontId="3" fillId="0" borderId="1" xfId="49" applyNumberFormat="1" applyFont="1" applyFill="1" applyBorder="1" applyAlignment="1">
      <alignment vertical="top" wrapText="1"/>
    </xf>
    <xf numFmtId="0" fontId="3" fillId="4" borderId="2" xfId="49" applyNumberFormat="1" applyFont="1" applyFill="1" applyBorder="1" applyAlignment="1">
      <alignment vertical="top" wrapText="1"/>
    </xf>
    <xf numFmtId="0" fontId="3" fillId="4" borderId="3" xfId="49" applyNumberFormat="1" applyFont="1" applyFill="1" applyBorder="1" applyAlignment="1">
      <alignment vertical="top" wrapText="1"/>
    </xf>
    <xf numFmtId="0" fontId="3" fillId="4" borderId="4" xfId="49" applyNumberFormat="1" applyFont="1" applyFill="1" applyBorder="1" applyAlignment="1">
      <alignment vertical="top" wrapText="1"/>
    </xf>
    <xf numFmtId="0" fontId="3" fillId="4" borderId="5" xfId="49" applyNumberFormat="1" applyFont="1" applyFill="1" applyBorder="1" applyAlignment="1">
      <alignment vertical="top" wrapText="1"/>
    </xf>
    <xf numFmtId="0" fontId="3" fillId="4" borderId="0" xfId="49" applyNumberFormat="1" applyFont="1" applyFill="1" applyBorder="1" applyAlignment="1">
      <alignment vertical="top" wrapText="1"/>
    </xf>
    <xf numFmtId="0" fontId="3" fillId="4" borderId="6" xfId="49" applyNumberFormat="1" applyFont="1" applyFill="1" applyBorder="1" applyAlignment="1">
      <alignment vertical="top" wrapText="1"/>
    </xf>
    <xf numFmtId="0" fontId="3" fillId="4" borderId="7" xfId="49" applyNumberFormat="1" applyFont="1" applyFill="1" applyBorder="1" applyAlignment="1">
      <alignment vertical="top" wrapText="1"/>
    </xf>
    <xf numFmtId="0" fontId="3" fillId="4" borderId="8" xfId="49" applyNumberFormat="1" applyFont="1" applyFill="1" applyBorder="1" applyAlignment="1">
      <alignment vertical="top" wrapText="1"/>
    </xf>
    <xf numFmtId="0" fontId="3" fillId="4" borderId="9" xfId="49" applyNumberFormat="1" applyFont="1" applyFill="1" applyBorder="1" applyAlignment="1">
      <alignment vertical="top" wrapText="1"/>
    </xf>
    <xf numFmtId="0" fontId="1" fillId="5" borderId="0" xfId="49" applyNumberFormat="1" applyFont="1" applyFill="1" applyBorder="1" applyAlignment="1">
      <alignment horizontal="left" vertical="center"/>
    </xf>
    <xf numFmtId="0" fontId="2" fillId="5" borderId="1" xfId="49" applyNumberFormat="1" applyFont="1" applyFill="1" applyBorder="1" applyAlignment="1">
      <alignment horizontal="center" vertical="center" wrapText="1"/>
    </xf>
    <xf numFmtId="0" fontId="1" fillId="6" borderId="0" xfId="49" applyNumberFormat="1" applyFont="1" applyFill="1" applyBorder="1" applyAlignment="1">
      <alignment horizontal="left" vertical="center"/>
    </xf>
    <xf numFmtId="0" fontId="2" fillId="6" borderId="1" xfId="49" applyNumberFormat="1" applyFont="1" applyFill="1" applyBorder="1" applyAlignment="1">
      <alignment horizontal="center" vertical="center" wrapText="1"/>
    </xf>
    <xf numFmtId="0" fontId="1" fillId="7" borderId="0" xfId="49" applyNumberFormat="1" applyFont="1" applyFill="1" applyBorder="1" applyAlignment="1">
      <alignment horizontal="left" vertical="center"/>
    </xf>
    <xf numFmtId="0" fontId="2" fillId="7" borderId="1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horizontal="left" vertical="center"/>
    </xf>
    <xf numFmtId="176" fontId="3" fillId="0" borderId="1" xfId="49" applyNumberFormat="1" applyFont="1" applyFill="1" applyBorder="1" applyAlignment="1">
      <alignment vertical="top" wrapText="1"/>
    </xf>
    <xf numFmtId="177" fontId="3" fillId="0" borderId="1" xfId="49" applyNumberFormat="1" applyFont="1" applyFill="1" applyBorder="1" applyAlignment="1">
      <alignment vertical="top" wrapText="1"/>
    </xf>
    <xf numFmtId="176" fontId="0" fillId="0" borderId="0" xfId="49" applyNumberFormat="1" applyFont="1" applyFill="1" applyBorder="1"/>
    <xf numFmtId="177" fontId="0" fillId="0" borderId="0" xfId="49" applyNumberFormat="1" applyFont="1" applyFill="1" applyBorder="1"/>
    <xf numFmtId="176" fontId="3" fillId="4" borderId="2" xfId="49" applyNumberFormat="1" applyFont="1" applyFill="1" applyBorder="1" applyAlignment="1">
      <alignment vertical="top" wrapText="1"/>
    </xf>
    <xf numFmtId="177" fontId="3" fillId="4" borderId="3" xfId="49" applyNumberFormat="1" applyFont="1" applyFill="1" applyBorder="1" applyAlignment="1">
      <alignment vertical="top" wrapText="1"/>
    </xf>
    <xf numFmtId="176" fontId="3" fillId="4" borderId="5" xfId="49" applyNumberFormat="1" applyFont="1" applyFill="1" applyBorder="1" applyAlignment="1">
      <alignment vertical="top" wrapText="1"/>
    </xf>
    <xf numFmtId="177" fontId="3" fillId="4" borderId="0" xfId="49" applyNumberFormat="1" applyFont="1" applyFill="1" applyBorder="1" applyAlignment="1">
      <alignment vertical="top" wrapText="1"/>
    </xf>
    <xf numFmtId="176" fontId="3" fillId="4" borderId="7" xfId="49" applyNumberFormat="1" applyFont="1" applyFill="1" applyBorder="1" applyAlignment="1">
      <alignment vertical="top" wrapText="1"/>
    </xf>
    <xf numFmtId="177" fontId="3" fillId="4" borderId="8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DC2626"/>
      </font>
      <fill>
        <patternFill patternType="solid">
          <bgColor rgb="FFFEE2E2"/>
        </patternFill>
      </fill>
    </dxf>
    <dxf>
      <font>
        <b val="1"/>
        <color rgb="FF16A34A"/>
      </font>
      <fill>
        <patternFill patternType="solid">
          <bgColor rgb="FFDCFCE7"/>
        </patternFill>
      </fill>
    </dxf>
    <dxf>
      <font>
        <b val="1"/>
        <color rgb="FF2563EB"/>
      </font>
      <fill>
        <patternFill patternType="solid">
          <bgColor rgb="FFDBEAF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PriorityTable" displayName="OverviewPriorityTable" ref="A10:H13">
  <autoFilter xmlns:etc="http://www.wps.cn/officeDocument/2017/etCustomData" ref="A10:H13" etc:filterBottomFollowUsedRange="0"/>
  <tableColumns count="8">
    <tableColumn id="1" name="优先级"/>
    <tableColumn id="2" name="任务"/>
    <tableColumn id="3" name="定位"/>
    <tableColumn id="4" name="验收标准"/>
    <tableColumn id="5" name="输出证据"/>
    <tableColumn id="6" name="目标日期"/>
    <tableColumn id="7" name="是否阻塞投递"/>
    <tableColumn id="8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oadmapTable" displayName="RoadmapTable" ref="A3:I8">
  <autoFilter xmlns:etc="http://www.wps.cn/officeDocument/2017/etCustomData" ref="A3:I8" etc:filterBottomFollowUsedRange="0"/>
  <tableColumns count="9">
    <tableColumn id="1" name="阶段"/>
    <tableColumn id="2" name="时间"/>
    <tableColumn id="3" name="主目标"/>
    <tableColumn id="4" name="必须产出"/>
    <tableColumn id="5" name="具体任务"/>
    <tableColumn id="6" name="验收标准"/>
    <tableColumn id="7" name="优先级"/>
    <tableColumn id="8" name="状态"/>
    <tableColumn id="9" name="风险控制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ailyExecutionTable" displayName="DailyExecutionTable" ref="A3:J17">
  <autoFilter xmlns:etc="http://www.wps.cn/officeDocument/2017/etCustomData" ref="A3:J17" etc:filterBottomFollowUsedRange="0"/>
  <tableColumns count="10">
    <tableColumn id="1" name="日期"/>
    <tableColumn id="2" name="星期"/>
    <tableColumn id="3" name="阶段"/>
    <tableColumn id="4" name="主任务"/>
    <tableColumn id="5" name="小任务"/>
    <tableColumn id="6" name="今日证据"/>
    <tableColumn id="7" name="计划小时"/>
    <tableColumn id="8" name="状态"/>
    <tableColumn id="9" name="实际证据/链接"/>
    <tableColumn id="10" name="复盘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eeklyCheckTable" displayName="WeeklyCheckTable" ref="A3:I11">
  <autoFilter xmlns:etc="http://www.wps.cn/officeDocument/2017/etCustomData" ref="A3:I11" etc:filterBottomFollowUsedRange="0"/>
  <tableColumns count="9">
    <tableColumn id="1" name="周次"/>
    <tableColumn id="2" name="日期范围"/>
    <tableColumn id="3" name="本周主目标"/>
    <tableColumn id="4" name="必须交付"/>
    <tableColumn id="5" name="FPS 目标"/>
    <tableColumn id="6" name="图形目标"/>
    <tableColumn id="7" name="状态"/>
    <tableColumn id="8" name="完成度"/>
    <tableColumn id="9" name="证据链接/备注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PortfolioTable" displayName="PortfolioTable" ref="A3:G16">
  <autoFilter xmlns:etc="http://www.wps.cn/officeDocument/2017/etCustomData" ref="A3:G16" etc:filterBottomFollowUsedRange="0"/>
  <tableColumns count="7">
    <tableColumn id="1" name="作品"/>
    <tableColumn id="2" name="定位"/>
    <tableColumn id="3" name="必须材料"/>
    <tableColumn id="4" name="技术亮点"/>
    <tableColumn id="5" name="目标日期"/>
    <tableColumn id="6" name="状态"/>
    <tableColumn id="7" name="备注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KnowledgeMapTable" displayName="KnowledgeMapTable" ref="A3:F13">
  <autoFilter xmlns:etc="http://www.wps.cn/officeDocument/2017/etCustomData" ref="A3:F13" etc:filterBottomFollowUsedRange="0"/>
  <tableColumns count="6">
    <tableColumn id="1" name="模块"/>
    <tableColumn id="2" name="重点内容"/>
    <tableColumn id="3" name="绑定项目"/>
    <tableColumn id="4" name="面试表达目标"/>
    <tableColumn id="5" name="优先级"/>
    <tableColumn id="6" name="证据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ApplicationTrackerTable" displayName="ApplicationTrackerTable" ref="A3:I15">
  <autoFilter xmlns:etc="http://www.wps.cn/officeDocument/2017/etCustomData" ref="A3:I15" etc:filterBottomFollowUsedRange="0"/>
  <tableColumns count="9">
    <tableColumn id="1" name="日期"/>
    <tableColumn id="2" name="公司"/>
    <tableColumn id="3" name="岗位"/>
    <tableColumn id="4" name="层级"/>
    <tableColumn id="5" name="JD 关键词"/>
    <tableColumn id="6" name="匹配作品"/>
    <tableColumn id="7" name="状态"/>
    <tableColumn id="8" name="下一步"/>
    <tableColumn id="9" name="备注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workbookViewId="0">
      <selection activeCell="A1" sqref="A1:H1"/>
    </sheetView>
  </sheetViews>
  <sheetFormatPr defaultColWidth="9" defaultRowHeight="14" outlineLevelCol="7"/>
  <cols>
    <col min="1" max="1" width="15" customWidth="1"/>
    <col min="2" max="2" width="30" customWidth="1"/>
    <col min="3" max="3" width="20" customWidth="1"/>
    <col min="4" max="4" width="25" customWidth="1"/>
    <col min="5" max="5" width="17.5" customWidth="1"/>
    <col min="6" max="6" width="27.5" customWidth="1"/>
    <col min="7" max="7" width="17.5" customWidth="1"/>
    <col min="8" max="8" width="25" customWidth="1"/>
  </cols>
  <sheetData>
    <row r="1" ht="25.5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3" spans="1:8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</row>
    <row r="4" ht="28" spans="1:8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1:8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15</v>
      </c>
      <c r="H5" s="4" t="s">
        <v>16</v>
      </c>
    </row>
    <row r="6" spans="1:8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15</v>
      </c>
      <c r="H6" s="4" t="s">
        <v>29</v>
      </c>
    </row>
    <row r="7" ht="28" spans="1:8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  <c r="H7" s="4" t="s">
        <v>37</v>
      </c>
    </row>
    <row r="8" spans="1:8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4" t="s">
        <v>44</v>
      </c>
      <c r="H8" s="4" t="s">
        <v>45</v>
      </c>
    </row>
    <row r="10" spans="1:8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</row>
    <row r="11" ht="28" spans="1:8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4" t="s">
        <v>61</v>
      </c>
    </row>
    <row r="12" ht="28" spans="1:8">
      <c r="A12" s="4" t="s">
        <v>54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60</v>
      </c>
      <c r="H12" s="4" t="s">
        <v>67</v>
      </c>
    </row>
    <row r="13" ht="28" spans="1:8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4" t="s">
        <v>75</v>
      </c>
    </row>
    <row r="15" spans="1:8">
      <c r="A15" s="6" t="s">
        <v>76</v>
      </c>
      <c r="B15" s="7" t="s">
        <v>76</v>
      </c>
      <c r="C15" s="7" t="s">
        <v>76</v>
      </c>
      <c r="D15" s="7" t="s">
        <v>76</v>
      </c>
      <c r="E15" s="7" t="s">
        <v>76</v>
      </c>
      <c r="F15" s="7" t="s">
        <v>76</v>
      </c>
      <c r="G15" s="7" t="s">
        <v>76</v>
      </c>
      <c r="H15" s="8" t="s">
        <v>76</v>
      </c>
    </row>
    <row r="16" spans="1:8">
      <c r="A16" s="9" t="s">
        <v>76</v>
      </c>
      <c r="B16" s="10" t="s">
        <v>76</v>
      </c>
      <c r="C16" s="10" t="s">
        <v>76</v>
      </c>
      <c r="D16" s="10" t="s">
        <v>76</v>
      </c>
      <c r="E16" s="10" t="s">
        <v>76</v>
      </c>
      <c r="F16" s="10" t="s">
        <v>76</v>
      </c>
      <c r="G16" s="10" t="s">
        <v>76</v>
      </c>
      <c r="H16" s="11" t="s">
        <v>76</v>
      </c>
    </row>
    <row r="17" spans="1:8">
      <c r="A17" s="12" t="s">
        <v>76</v>
      </c>
      <c r="B17" s="13" t="s">
        <v>76</v>
      </c>
      <c r="C17" s="13" t="s">
        <v>76</v>
      </c>
      <c r="D17" s="13" t="s">
        <v>76</v>
      </c>
      <c r="E17" s="13" t="s">
        <v>76</v>
      </c>
      <c r="F17" s="13" t="s">
        <v>76</v>
      </c>
      <c r="G17" s="13" t="s">
        <v>76</v>
      </c>
      <c r="H17" s="14" t="s">
        <v>76</v>
      </c>
    </row>
  </sheetData>
  <mergeCells count="2">
    <mergeCell ref="A1:H1"/>
    <mergeCell ref="A15:H17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showGridLines="0" workbookViewId="0">
      <selection activeCell="D23" sqref="D23"/>
    </sheetView>
  </sheetViews>
  <sheetFormatPr defaultColWidth="9" defaultRowHeight="14" outlineLevelRow="7"/>
  <cols>
    <col min="1" max="1" width="15" customWidth="1"/>
    <col min="2" max="2" width="18.75" customWidth="1"/>
    <col min="3" max="3" width="21.25" customWidth="1"/>
    <col min="4" max="4" width="31.25" customWidth="1"/>
    <col min="5" max="5" width="32.5" customWidth="1"/>
    <col min="6" max="6" width="27.5" customWidth="1"/>
    <col min="7" max="7" width="16.25" customWidth="1"/>
    <col min="8" max="8" width="21.25" customWidth="1"/>
    <col min="9" max="9" width="32.5" customWidth="1"/>
  </cols>
  <sheetData>
    <row r="1" ht="25.5" customHeight="1" spans="1:9">
      <c r="A1" s="15" t="s">
        <v>77</v>
      </c>
      <c r="B1" s="15" t="s">
        <v>77</v>
      </c>
      <c r="C1" s="15" t="s">
        <v>77</v>
      </c>
      <c r="D1" s="15" t="s">
        <v>77</v>
      </c>
      <c r="E1" s="15" t="s">
        <v>77</v>
      </c>
      <c r="F1" s="15" t="s">
        <v>77</v>
      </c>
      <c r="G1" s="15" t="s">
        <v>77</v>
      </c>
      <c r="H1" s="15" t="s">
        <v>77</v>
      </c>
      <c r="I1" s="15" t="s">
        <v>77</v>
      </c>
    </row>
    <row r="3" spans="1:9">
      <c r="A3" s="16" t="s">
        <v>78</v>
      </c>
      <c r="B3" s="16" t="s">
        <v>79</v>
      </c>
      <c r="C3" s="16" t="s">
        <v>80</v>
      </c>
      <c r="D3" s="16" t="s">
        <v>81</v>
      </c>
      <c r="E3" s="16" t="s">
        <v>82</v>
      </c>
      <c r="F3" s="16" t="s">
        <v>49</v>
      </c>
      <c r="G3" s="16" t="s">
        <v>46</v>
      </c>
      <c r="H3" s="16" t="s">
        <v>15</v>
      </c>
      <c r="I3" s="16" t="s">
        <v>83</v>
      </c>
    </row>
    <row r="4" ht="42" spans="1:9">
      <c r="A4" s="4" t="s">
        <v>84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  <c r="G4" s="4" t="s">
        <v>54</v>
      </c>
      <c r="H4" s="4" t="s">
        <v>29</v>
      </c>
      <c r="I4" s="4" t="s">
        <v>90</v>
      </c>
    </row>
    <row r="5" ht="28" spans="1:9">
      <c r="A5" s="4" t="s">
        <v>91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54</v>
      </c>
      <c r="H5" s="4" t="s">
        <v>29</v>
      </c>
      <c r="I5" s="4" t="s">
        <v>97</v>
      </c>
    </row>
    <row r="6" ht="42" spans="1:9">
      <c r="A6" s="4" t="s">
        <v>98</v>
      </c>
      <c r="B6" s="4" t="s">
        <v>99</v>
      </c>
      <c r="C6" s="4" t="s">
        <v>69</v>
      </c>
      <c r="D6" s="4" t="s">
        <v>100</v>
      </c>
      <c r="E6" s="4" t="s">
        <v>101</v>
      </c>
      <c r="F6" s="4" t="s">
        <v>102</v>
      </c>
      <c r="G6" s="4" t="s">
        <v>68</v>
      </c>
      <c r="H6" s="4" t="s">
        <v>29</v>
      </c>
      <c r="I6" s="4" t="s">
        <v>103</v>
      </c>
    </row>
    <row r="7" ht="28" spans="1:9">
      <c r="A7" s="4" t="s">
        <v>104</v>
      </c>
      <c r="B7" s="4" t="s">
        <v>105</v>
      </c>
      <c r="C7" s="4" t="s">
        <v>106</v>
      </c>
      <c r="D7" s="4" t="s">
        <v>107</v>
      </c>
      <c r="E7" s="4" t="s">
        <v>108</v>
      </c>
      <c r="F7" s="4" t="s">
        <v>109</v>
      </c>
      <c r="G7" s="4" t="s">
        <v>54</v>
      </c>
      <c r="H7" s="4" t="s">
        <v>29</v>
      </c>
      <c r="I7" s="4" t="s">
        <v>110</v>
      </c>
    </row>
    <row r="8" ht="28" spans="1:9">
      <c r="A8" s="4" t="s">
        <v>111</v>
      </c>
      <c r="B8" s="4" t="s">
        <v>112</v>
      </c>
      <c r="C8" s="4" t="s">
        <v>113</v>
      </c>
      <c r="D8" s="4" t="s">
        <v>114</v>
      </c>
      <c r="E8" s="4" t="s">
        <v>115</v>
      </c>
      <c r="F8" s="4" t="s">
        <v>116</v>
      </c>
      <c r="G8" s="4" t="s">
        <v>54</v>
      </c>
      <c r="H8" s="4" t="s">
        <v>29</v>
      </c>
      <c r="I8" s="4" t="s">
        <v>117</v>
      </c>
    </row>
  </sheetData>
  <mergeCells count="1">
    <mergeCell ref="A1:I1"/>
  </mergeCells>
  <conditionalFormatting sqref="G4:G8">
    <cfRule type="containsText" dxfId="0" priority="1" operator="between" text="P0">
      <formula>NOT(ISERROR(SEARCH("P0",G4)))</formula>
    </cfRule>
  </conditionalFormatting>
  <conditionalFormatting sqref="H4:H8">
    <cfRule type="containsText" dxfId="1" priority="2" operator="between" text="完成">
      <formula>NOT(ISERROR(SEARCH("完成",H4)))</formula>
    </cfRule>
    <cfRule type="containsText" dxfId="0" priority="3" operator="between" text="阻塞">
      <formula>NOT(ISERROR(SEARCH("阻塞",H4)))</formula>
    </cfRule>
  </conditionalFormatting>
  <dataValidations count="1">
    <dataValidation type="list" sqref="H4:H8">
      <formula1>"未开始,进行中,完成,阻塞,跳过"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showGridLines="0" workbookViewId="0">
      <selection activeCell="A1" sqref="A1:J1"/>
    </sheetView>
  </sheetViews>
  <sheetFormatPr defaultColWidth="9" defaultRowHeight="14"/>
  <cols>
    <col min="1" max="1" width="13.75" customWidth="1"/>
    <col min="2" max="2" width="16.25" customWidth="1"/>
    <col min="3" max="3" width="20" customWidth="1"/>
    <col min="4" max="4" width="33.75" customWidth="1"/>
    <col min="5" max="5" width="28.75" customWidth="1"/>
    <col min="6" max="6" width="27.5" customWidth="1"/>
    <col min="7" max="7" width="12.5" customWidth="1"/>
    <col min="8" max="8" width="16.25" customWidth="1"/>
    <col min="9" max="9" width="27.5" customWidth="1"/>
    <col min="10" max="10" width="30" customWidth="1"/>
  </cols>
  <sheetData>
    <row r="1" ht="25.5" customHeight="1" spans="1:10">
      <c r="A1" s="21" t="s">
        <v>118</v>
      </c>
      <c r="B1" s="21" t="s">
        <v>118</v>
      </c>
      <c r="C1" s="21" t="s">
        <v>118</v>
      </c>
      <c r="D1" s="21" t="s">
        <v>118</v>
      </c>
      <c r="E1" s="21" t="s">
        <v>118</v>
      </c>
      <c r="F1" s="21" t="s">
        <v>118</v>
      </c>
      <c r="G1" s="21" t="s">
        <v>118</v>
      </c>
      <c r="H1" s="21" t="s">
        <v>118</v>
      </c>
      <c r="I1" s="21" t="s">
        <v>118</v>
      </c>
      <c r="J1" s="21" t="s">
        <v>118</v>
      </c>
    </row>
    <row r="3" spans="1:10">
      <c r="A3" s="3" t="s">
        <v>119</v>
      </c>
      <c r="B3" s="3" t="s">
        <v>120</v>
      </c>
      <c r="C3" s="3" t="s">
        <v>78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15</v>
      </c>
      <c r="I3" s="3" t="s">
        <v>125</v>
      </c>
      <c r="J3" s="3" t="s">
        <v>126</v>
      </c>
    </row>
    <row r="4" ht="28" spans="1:10">
      <c r="A4" s="22" t="s">
        <v>6</v>
      </c>
      <c r="B4" s="4" t="s">
        <v>127</v>
      </c>
      <c r="C4" s="4" t="s">
        <v>84</v>
      </c>
      <c r="D4" s="4" t="s">
        <v>128</v>
      </c>
      <c r="E4" s="4" t="s">
        <v>129</v>
      </c>
      <c r="F4" s="4" t="s">
        <v>130</v>
      </c>
      <c r="G4" s="23">
        <v>6</v>
      </c>
      <c r="H4" s="4" t="s">
        <v>29</v>
      </c>
      <c r="I4" s="4" t="s">
        <v>131</v>
      </c>
      <c r="J4" s="4" t="s">
        <v>131</v>
      </c>
    </row>
    <row r="5" ht="28" spans="1:10">
      <c r="A5" s="22" t="s">
        <v>132</v>
      </c>
      <c r="B5" s="4" t="s">
        <v>133</v>
      </c>
      <c r="C5" s="4" t="s">
        <v>84</v>
      </c>
      <c r="D5" s="4" t="s">
        <v>134</v>
      </c>
      <c r="E5" s="4" t="s">
        <v>135</v>
      </c>
      <c r="F5" s="4" t="s">
        <v>136</v>
      </c>
      <c r="G5" s="23">
        <v>5</v>
      </c>
      <c r="H5" s="4" t="s">
        <v>29</v>
      </c>
      <c r="I5" s="4" t="s">
        <v>131</v>
      </c>
      <c r="J5" s="4" t="s">
        <v>131</v>
      </c>
    </row>
    <row r="6" ht="28" spans="1:10">
      <c r="A6" s="22" t="s">
        <v>137</v>
      </c>
      <c r="B6" s="4" t="s">
        <v>138</v>
      </c>
      <c r="C6" s="4" t="s">
        <v>84</v>
      </c>
      <c r="D6" s="4" t="s">
        <v>139</v>
      </c>
      <c r="E6" s="4" t="s">
        <v>140</v>
      </c>
      <c r="F6" s="4" t="s">
        <v>141</v>
      </c>
      <c r="G6" s="23">
        <v>7</v>
      </c>
      <c r="H6" s="4" t="s">
        <v>29</v>
      </c>
      <c r="I6" s="4" t="s">
        <v>131</v>
      </c>
      <c r="J6" s="4" t="s">
        <v>131</v>
      </c>
    </row>
    <row r="7" ht="28" spans="1:10">
      <c r="A7" s="22" t="s">
        <v>142</v>
      </c>
      <c r="B7" s="4" t="s">
        <v>143</v>
      </c>
      <c r="C7" s="4" t="s">
        <v>84</v>
      </c>
      <c r="D7" s="4" t="s">
        <v>144</v>
      </c>
      <c r="E7" s="4" t="s">
        <v>145</v>
      </c>
      <c r="F7" s="4" t="s">
        <v>146</v>
      </c>
      <c r="G7" s="23">
        <v>7</v>
      </c>
      <c r="H7" s="4" t="s">
        <v>29</v>
      </c>
      <c r="I7" s="4" t="s">
        <v>131</v>
      </c>
      <c r="J7" s="4" t="s">
        <v>131</v>
      </c>
    </row>
    <row r="8" ht="28" spans="1:10">
      <c r="A8" s="22" t="s">
        <v>147</v>
      </c>
      <c r="B8" s="4" t="s">
        <v>148</v>
      </c>
      <c r="C8" s="4" t="s">
        <v>84</v>
      </c>
      <c r="D8" s="4" t="s">
        <v>149</v>
      </c>
      <c r="E8" s="4" t="s">
        <v>150</v>
      </c>
      <c r="F8" s="4" t="s">
        <v>151</v>
      </c>
      <c r="G8" s="23">
        <v>7</v>
      </c>
      <c r="H8" s="4" t="s">
        <v>29</v>
      </c>
      <c r="I8" s="4" t="s">
        <v>131</v>
      </c>
      <c r="J8" s="4" t="s">
        <v>131</v>
      </c>
    </row>
    <row r="9" spans="1:10">
      <c r="A9" s="22" t="s">
        <v>152</v>
      </c>
      <c r="B9" s="4" t="s">
        <v>153</v>
      </c>
      <c r="C9" s="4" t="s">
        <v>84</v>
      </c>
      <c r="D9" s="4" t="s">
        <v>154</v>
      </c>
      <c r="E9" s="4" t="s">
        <v>155</v>
      </c>
      <c r="F9" s="4" t="s">
        <v>156</v>
      </c>
      <c r="G9" s="23">
        <v>7</v>
      </c>
      <c r="H9" s="4" t="s">
        <v>29</v>
      </c>
      <c r="I9" s="4" t="s">
        <v>131</v>
      </c>
      <c r="J9" s="4" t="s">
        <v>131</v>
      </c>
    </row>
    <row r="10" spans="1:10">
      <c r="A10" s="22" t="s">
        <v>157</v>
      </c>
      <c r="B10" s="4" t="s">
        <v>158</v>
      </c>
      <c r="C10" s="4" t="s">
        <v>84</v>
      </c>
      <c r="D10" s="4" t="s">
        <v>159</v>
      </c>
      <c r="E10" s="4" t="s">
        <v>160</v>
      </c>
      <c r="F10" s="4" t="s">
        <v>161</v>
      </c>
      <c r="G10" s="23">
        <v>6</v>
      </c>
      <c r="H10" s="4" t="s">
        <v>29</v>
      </c>
      <c r="I10" s="4" t="s">
        <v>131</v>
      </c>
      <c r="J10" s="4" t="s">
        <v>131</v>
      </c>
    </row>
    <row r="11" spans="1:10">
      <c r="A11" s="22" t="s">
        <v>66</v>
      </c>
      <c r="B11" s="4" t="s">
        <v>127</v>
      </c>
      <c r="C11" s="4" t="s">
        <v>84</v>
      </c>
      <c r="D11" s="4" t="s">
        <v>162</v>
      </c>
      <c r="E11" s="4" t="s">
        <v>163</v>
      </c>
      <c r="F11" s="4" t="s">
        <v>164</v>
      </c>
      <c r="G11" s="23">
        <v>4</v>
      </c>
      <c r="H11" s="4" t="s">
        <v>29</v>
      </c>
      <c r="I11" s="4" t="s">
        <v>131</v>
      </c>
      <c r="J11" s="4" t="s">
        <v>131</v>
      </c>
    </row>
    <row r="12" spans="1:10">
      <c r="A12" s="22" t="s">
        <v>165</v>
      </c>
      <c r="B12" s="4" t="s">
        <v>133</v>
      </c>
      <c r="C12" s="4" t="s">
        <v>91</v>
      </c>
      <c r="D12" s="4" t="s">
        <v>166</v>
      </c>
      <c r="E12" s="4" t="s">
        <v>167</v>
      </c>
      <c r="F12" s="4" t="s">
        <v>168</v>
      </c>
      <c r="G12" s="23">
        <v>6</v>
      </c>
      <c r="H12" s="4" t="s">
        <v>29</v>
      </c>
      <c r="I12" s="4" t="s">
        <v>131</v>
      </c>
      <c r="J12" s="4" t="s">
        <v>131</v>
      </c>
    </row>
    <row r="13" spans="1:10">
      <c r="A13" s="22" t="s">
        <v>169</v>
      </c>
      <c r="B13" s="4" t="s">
        <v>138</v>
      </c>
      <c r="C13" s="4" t="s">
        <v>91</v>
      </c>
      <c r="D13" s="4" t="s">
        <v>170</v>
      </c>
      <c r="E13" s="4" t="s">
        <v>155</v>
      </c>
      <c r="F13" s="4" t="s">
        <v>171</v>
      </c>
      <c r="G13" s="23">
        <v>7</v>
      </c>
      <c r="H13" s="4" t="s">
        <v>29</v>
      </c>
      <c r="I13" s="4" t="s">
        <v>131</v>
      </c>
      <c r="J13" s="4" t="s">
        <v>131</v>
      </c>
    </row>
    <row r="14" ht="28" spans="1:10">
      <c r="A14" s="22" t="s">
        <v>172</v>
      </c>
      <c r="B14" s="4" t="s">
        <v>143</v>
      </c>
      <c r="C14" s="4" t="s">
        <v>91</v>
      </c>
      <c r="D14" s="4" t="s">
        <v>173</v>
      </c>
      <c r="E14" s="4" t="s">
        <v>174</v>
      </c>
      <c r="F14" s="4" t="s">
        <v>175</v>
      </c>
      <c r="G14" s="23">
        <v>7</v>
      </c>
      <c r="H14" s="4" t="s">
        <v>29</v>
      </c>
      <c r="I14" s="4" t="s">
        <v>131</v>
      </c>
      <c r="J14" s="4" t="s">
        <v>131</v>
      </c>
    </row>
    <row r="15" spans="1:10">
      <c r="A15" s="22" t="s">
        <v>176</v>
      </c>
      <c r="B15" s="4" t="s">
        <v>148</v>
      </c>
      <c r="C15" s="4" t="s">
        <v>91</v>
      </c>
      <c r="D15" s="4" t="s">
        <v>177</v>
      </c>
      <c r="E15" s="4" t="s">
        <v>178</v>
      </c>
      <c r="F15" s="4" t="s">
        <v>179</v>
      </c>
      <c r="G15" s="23">
        <v>7</v>
      </c>
      <c r="H15" s="4" t="s">
        <v>29</v>
      </c>
      <c r="I15" s="4" t="s">
        <v>131</v>
      </c>
      <c r="J15" s="4" t="s">
        <v>131</v>
      </c>
    </row>
    <row r="16" spans="1:10">
      <c r="A16" s="22" t="s">
        <v>180</v>
      </c>
      <c r="B16" s="4" t="s">
        <v>153</v>
      </c>
      <c r="C16" s="4" t="s">
        <v>91</v>
      </c>
      <c r="D16" s="4" t="s">
        <v>181</v>
      </c>
      <c r="E16" s="4" t="s">
        <v>182</v>
      </c>
      <c r="F16" s="4" t="s">
        <v>183</v>
      </c>
      <c r="G16" s="23">
        <v>7</v>
      </c>
      <c r="H16" s="4" t="s">
        <v>29</v>
      </c>
      <c r="I16" s="4" t="s">
        <v>131</v>
      </c>
      <c r="J16" s="4" t="s">
        <v>131</v>
      </c>
    </row>
    <row r="17" spans="1:10">
      <c r="A17" s="22" t="s">
        <v>184</v>
      </c>
      <c r="B17" s="4" t="s">
        <v>158</v>
      </c>
      <c r="C17" s="4" t="s">
        <v>91</v>
      </c>
      <c r="D17" s="4" t="s">
        <v>185</v>
      </c>
      <c r="E17" s="4" t="s">
        <v>186</v>
      </c>
      <c r="F17" s="4" t="s">
        <v>187</v>
      </c>
      <c r="G17" s="23">
        <v>7</v>
      </c>
      <c r="H17" s="4" t="s">
        <v>29</v>
      </c>
      <c r="I17" s="4" t="s">
        <v>131</v>
      </c>
      <c r="J17" s="4" t="s">
        <v>131</v>
      </c>
    </row>
    <row r="18" spans="1:10">
      <c r="A18" s="24"/>
      <c r="G18" s="25"/>
    </row>
    <row r="19" spans="1:10">
      <c r="A19" s="26" t="s">
        <v>188</v>
      </c>
      <c r="B19" s="7" t="s">
        <v>188</v>
      </c>
      <c r="C19" s="7" t="s">
        <v>188</v>
      </c>
      <c r="D19" s="7" t="s">
        <v>188</v>
      </c>
      <c r="E19" s="7" t="s">
        <v>188</v>
      </c>
      <c r="F19" s="7" t="s">
        <v>188</v>
      </c>
      <c r="G19" s="27" t="s">
        <v>188</v>
      </c>
      <c r="H19" s="7" t="s">
        <v>188</v>
      </c>
      <c r="I19" s="7" t="s">
        <v>188</v>
      </c>
      <c r="J19" s="8" t="s">
        <v>188</v>
      </c>
    </row>
    <row r="20" spans="1:10">
      <c r="A20" s="28" t="s">
        <v>188</v>
      </c>
      <c r="B20" s="10" t="s">
        <v>188</v>
      </c>
      <c r="C20" s="10" t="s">
        <v>188</v>
      </c>
      <c r="D20" s="10" t="s">
        <v>188</v>
      </c>
      <c r="E20" s="10" t="s">
        <v>188</v>
      </c>
      <c r="F20" s="10" t="s">
        <v>188</v>
      </c>
      <c r="G20" s="29" t="s">
        <v>188</v>
      </c>
      <c r="H20" s="10" t="s">
        <v>188</v>
      </c>
      <c r="I20" s="10" t="s">
        <v>188</v>
      </c>
      <c r="J20" s="11" t="s">
        <v>188</v>
      </c>
    </row>
    <row r="21" spans="1:10">
      <c r="A21" s="30" t="s">
        <v>188</v>
      </c>
      <c r="B21" s="13" t="s">
        <v>188</v>
      </c>
      <c r="C21" s="13" t="s">
        <v>188</v>
      </c>
      <c r="D21" s="13" t="s">
        <v>188</v>
      </c>
      <c r="E21" s="13" t="s">
        <v>188</v>
      </c>
      <c r="F21" s="13" t="s">
        <v>188</v>
      </c>
      <c r="G21" s="31" t="s">
        <v>188</v>
      </c>
      <c r="H21" s="13" t="s">
        <v>188</v>
      </c>
      <c r="I21" s="13" t="s">
        <v>188</v>
      </c>
      <c r="J21" s="14" t="s">
        <v>188</v>
      </c>
    </row>
    <row r="22" spans="1:10">
      <c r="A22" s="24"/>
      <c r="G22" s="25"/>
    </row>
    <row r="23" spans="1:10">
      <c r="A23" s="24"/>
      <c r="G23" s="25"/>
    </row>
    <row r="24" spans="1:10">
      <c r="A24" s="24"/>
      <c r="G24" s="25"/>
    </row>
    <row r="25" spans="1:10">
      <c r="A25" s="24"/>
      <c r="G25" s="25"/>
    </row>
    <row r="26" spans="1:10">
      <c r="A26" s="24"/>
      <c r="G26" s="25"/>
    </row>
    <row r="27" spans="1:10">
      <c r="A27" s="24"/>
      <c r="G27" s="25"/>
    </row>
    <row r="28" spans="1:10">
      <c r="A28" s="24"/>
      <c r="G28" s="25"/>
    </row>
    <row r="29" spans="1:10">
      <c r="A29" s="24"/>
      <c r="G29" s="25"/>
    </row>
    <row r="30" spans="1:10">
      <c r="A30" s="24"/>
      <c r="G30" s="25"/>
    </row>
    <row r="31" spans="1:10">
      <c r="A31" s="24"/>
      <c r="G31" s="25"/>
    </row>
    <row r="32" spans="1:10">
      <c r="A32" s="24"/>
      <c r="G32" s="25"/>
    </row>
    <row r="33" spans="1:7">
      <c r="A33" s="24"/>
      <c r="G33" s="25"/>
    </row>
    <row r="34" spans="1:7">
      <c r="A34" s="24"/>
      <c r="G34" s="25"/>
    </row>
    <row r="35" spans="1:7">
      <c r="A35" s="24"/>
      <c r="G35" s="25"/>
    </row>
    <row r="36" spans="1:7">
      <c r="A36" s="24"/>
      <c r="G36" s="25"/>
    </row>
    <row r="37" spans="1:7">
      <c r="A37" s="24"/>
      <c r="G37" s="25"/>
    </row>
    <row r="38" spans="1:7">
      <c r="A38" s="24"/>
      <c r="G38" s="25"/>
    </row>
    <row r="39" spans="1:7">
      <c r="A39" s="24"/>
      <c r="G39" s="25"/>
    </row>
    <row r="40" spans="1:7">
      <c r="A40" s="24"/>
      <c r="G40" s="25"/>
    </row>
    <row r="41" spans="1:7">
      <c r="A41" s="24"/>
      <c r="G41" s="25"/>
    </row>
    <row r="42" spans="1:7">
      <c r="A42" s="24"/>
      <c r="G42" s="25"/>
    </row>
    <row r="43" spans="1:7">
      <c r="A43" s="24"/>
      <c r="G43" s="25"/>
    </row>
    <row r="44" spans="1:7">
      <c r="A44" s="24"/>
      <c r="G44" s="25"/>
    </row>
    <row r="45" spans="1:7">
      <c r="A45" s="24"/>
      <c r="G45" s="25"/>
    </row>
    <row r="46" spans="1:7">
      <c r="A46" s="24"/>
      <c r="G46" s="25"/>
    </row>
    <row r="47" spans="1:7">
      <c r="A47" s="24"/>
      <c r="G47" s="25"/>
    </row>
    <row r="48" spans="1:7">
      <c r="A48" s="24"/>
      <c r="G48" s="25"/>
    </row>
    <row r="49" spans="1:7">
      <c r="A49" s="24"/>
      <c r="G49" s="25"/>
    </row>
    <row r="50" spans="1:7">
      <c r="A50" s="24"/>
      <c r="G50" s="25"/>
    </row>
    <row r="51" spans="1:7">
      <c r="A51" s="24"/>
      <c r="G51" s="25"/>
    </row>
    <row r="52" spans="1:7">
      <c r="A52" s="24"/>
      <c r="G52" s="25"/>
    </row>
    <row r="53" spans="1:7">
      <c r="A53" s="24"/>
      <c r="G53" s="25"/>
    </row>
    <row r="54" spans="1:7">
      <c r="A54" s="24"/>
      <c r="G54" s="25"/>
    </row>
    <row r="55" spans="1:7">
      <c r="A55" s="24"/>
      <c r="G55" s="25"/>
    </row>
    <row r="56" spans="1:7">
      <c r="A56" s="24"/>
      <c r="G56" s="25"/>
    </row>
    <row r="57" spans="1:7">
      <c r="A57" s="24"/>
      <c r="G57" s="25"/>
    </row>
    <row r="58" spans="1:7">
      <c r="A58" s="24"/>
      <c r="G58" s="25"/>
    </row>
    <row r="59" spans="1:7">
      <c r="A59" s="24"/>
      <c r="G59" s="25"/>
    </row>
    <row r="60" spans="1:7">
      <c r="A60" s="24"/>
      <c r="G60" s="25"/>
    </row>
    <row r="61" spans="1:7">
      <c r="A61" s="24"/>
      <c r="G61" s="25"/>
    </row>
    <row r="62" spans="1:7">
      <c r="A62" s="24"/>
      <c r="G62" s="25"/>
    </row>
    <row r="63" spans="1:7">
      <c r="A63" s="24"/>
      <c r="G63" s="25"/>
    </row>
    <row r="64" spans="1:7">
      <c r="A64" s="24"/>
      <c r="G64" s="25"/>
    </row>
    <row r="65" spans="1:7">
      <c r="A65" s="24"/>
      <c r="G65" s="25"/>
    </row>
    <row r="66" spans="1:7">
      <c r="A66" s="24"/>
      <c r="G66" s="25"/>
    </row>
    <row r="67" spans="1:7">
      <c r="A67" s="24"/>
      <c r="G67" s="25"/>
    </row>
    <row r="68" spans="1:7">
      <c r="A68" s="24"/>
      <c r="G68" s="25"/>
    </row>
    <row r="69" spans="1:7">
      <c r="A69" s="24"/>
      <c r="G69" s="25"/>
    </row>
    <row r="70" spans="1:7">
      <c r="A70" s="24"/>
      <c r="G70" s="25"/>
    </row>
    <row r="71" spans="1:7">
      <c r="A71" s="24"/>
      <c r="G71" s="25"/>
    </row>
    <row r="72" spans="1:7">
      <c r="A72" s="24"/>
      <c r="G72" s="25"/>
    </row>
    <row r="73" spans="1:7">
      <c r="A73" s="24"/>
      <c r="G73" s="25"/>
    </row>
    <row r="74" spans="1:7">
      <c r="A74" s="24"/>
      <c r="G74" s="25"/>
    </row>
    <row r="75" spans="1:7">
      <c r="A75" s="24"/>
      <c r="G75" s="25"/>
    </row>
    <row r="76" spans="1:7">
      <c r="A76" s="24"/>
      <c r="G76" s="25"/>
    </row>
    <row r="77" spans="1:7">
      <c r="A77" s="24"/>
      <c r="G77" s="25"/>
    </row>
    <row r="78" spans="1:7">
      <c r="A78" s="24"/>
      <c r="G78" s="25"/>
    </row>
    <row r="79" spans="1:7">
      <c r="A79" s="24"/>
      <c r="G79" s="25"/>
    </row>
    <row r="80" spans="1:7">
      <c r="A80" s="24"/>
      <c r="G80" s="25"/>
    </row>
    <row r="81" spans="1:7">
      <c r="A81" s="24"/>
      <c r="G81" s="25"/>
    </row>
    <row r="82" spans="1:7">
      <c r="A82" s="24"/>
      <c r="G82" s="25"/>
    </row>
    <row r="83" spans="1:7">
      <c r="A83" s="24"/>
      <c r="G83" s="25"/>
    </row>
    <row r="84" spans="1:7">
      <c r="A84" s="24"/>
      <c r="G84" s="25"/>
    </row>
    <row r="85" spans="1:7">
      <c r="A85" s="24"/>
      <c r="G85" s="25"/>
    </row>
    <row r="86" spans="1:7">
      <c r="A86" s="24"/>
      <c r="G86" s="25"/>
    </row>
    <row r="87" spans="1:7">
      <c r="A87" s="24"/>
      <c r="G87" s="25"/>
    </row>
    <row r="88" spans="1:7">
      <c r="A88" s="24"/>
      <c r="G88" s="25"/>
    </row>
    <row r="89" spans="1:7">
      <c r="A89" s="24"/>
      <c r="G89" s="25"/>
    </row>
    <row r="90" spans="1:7">
      <c r="A90" s="24"/>
      <c r="G90" s="25"/>
    </row>
    <row r="91" spans="1:7">
      <c r="A91" s="24"/>
      <c r="G91" s="25"/>
    </row>
    <row r="92" spans="1:7">
      <c r="A92" s="24"/>
      <c r="G92" s="25"/>
    </row>
    <row r="93" spans="1:7">
      <c r="A93" s="24"/>
      <c r="G93" s="25"/>
    </row>
    <row r="94" spans="1:7">
      <c r="A94" s="24"/>
      <c r="G94" s="25"/>
    </row>
    <row r="95" spans="1:7">
      <c r="A95" s="24"/>
      <c r="G95" s="25"/>
    </row>
    <row r="96" spans="1:7">
      <c r="A96" s="24"/>
      <c r="G96" s="25"/>
    </row>
    <row r="97" spans="1:7">
      <c r="A97" s="24"/>
      <c r="G97" s="25"/>
    </row>
    <row r="98" spans="1:7">
      <c r="A98" s="24"/>
      <c r="G98" s="25"/>
    </row>
    <row r="99" spans="1:7">
      <c r="A99" s="24"/>
      <c r="G99" s="25"/>
    </row>
    <row r="100" spans="1:7">
      <c r="A100" s="24"/>
      <c r="G100" s="25"/>
    </row>
    <row r="101" spans="1:7">
      <c r="A101" s="24"/>
      <c r="G101" s="25"/>
    </row>
    <row r="102" spans="1:7">
      <c r="A102" s="24"/>
      <c r="G102" s="25"/>
    </row>
    <row r="103" spans="1:7">
      <c r="A103" s="24"/>
      <c r="G103" s="25"/>
    </row>
    <row r="104" spans="1:7">
      <c r="A104" s="24"/>
      <c r="G104" s="25"/>
    </row>
    <row r="105" spans="1:7">
      <c r="A105" s="24"/>
      <c r="G105" s="25"/>
    </row>
    <row r="106" spans="1:7">
      <c r="A106" s="24"/>
      <c r="G106" s="25"/>
    </row>
    <row r="107" spans="1:7">
      <c r="A107" s="24"/>
      <c r="G107" s="25"/>
    </row>
    <row r="108" spans="1:7">
      <c r="A108" s="24"/>
      <c r="G108" s="25"/>
    </row>
    <row r="109" spans="1:7">
      <c r="A109" s="24"/>
      <c r="G109" s="25"/>
    </row>
    <row r="110" spans="1:7">
      <c r="A110" s="24"/>
      <c r="G110" s="25"/>
    </row>
    <row r="111" spans="1:7">
      <c r="A111" s="24"/>
      <c r="G111" s="25"/>
    </row>
    <row r="112" spans="1:7">
      <c r="A112" s="24"/>
      <c r="G112" s="25"/>
    </row>
    <row r="113" spans="1:7">
      <c r="A113" s="24"/>
      <c r="G113" s="25"/>
    </row>
    <row r="114" spans="1:7">
      <c r="A114" s="24"/>
      <c r="G114" s="25"/>
    </row>
    <row r="115" spans="1:7">
      <c r="A115" s="24"/>
      <c r="G115" s="25"/>
    </row>
    <row r="116" spans="1:7">
      <c r="A116" s="24"/>
      <c r="G116" s="25"/>
    </row>
    <row r="117" spans="1:7">
      <c r="A117" s="24"/>
      <c r="G117" s="25"/>
    </row>
    <row r="118" spans="1:7">
      <c r="A118" s="24"/>
      <c r="G118" s="25"/>
    </row>
    <row r="119" spans="1:7">
      <c r="A119" s="24"/>
      <c r="G119" s="25"/>
    </row>
    <row r="120" spans="1:7">
      <c r="A120" s="24"/>
      <c r="G120" s="25"/>
    </row>
    <row r="121" spans="1:7">
      <c r="A121" s="24"/>
      <c r="G121" s="25"/>
    </row>
    <row r="122" spans="1:7">
      <c r="A122" s="24"/>
      <c r="G122" s="25"/>
    </row>
    <row r="123" spans="1:7">
      <c r="A123" s="24"/>
      <c r="G123" s="25"/>
    </row>
    <row r="124" spans="1:7">
      <c r="A124" s="24"/>
      <c r="G124" s="25"/>
    </row>
    <row r="125" spans="1:7">
      <c r="A125" s="24"/>
      <c r="G125" s="25"/>
    </row>
    <row r="126" spans="1:7">
      <c r="A126" s="24"/>
      <c r="G126" s="25"/>
    </row>
    <row r="127" spans="1:7">
      <c r="A127" s="24"/>
      <c r="G127" s="25"/>
    </row>
    <row r="128" spans="1:7">
      <c r="A128" s="24"/>
      <c r="G128" s="25"/>
    </row>
    <row r="129" spans="1:7">
      <c r="A129" s="24"/>
      <c r="G129" s="25"/>
    </row>
    <row r="130" spans="1:7">
      <c r="A130" s="24"/>
      <c r="G130" s="25"/>
    </row>
    <row r="131" spans="1:7">
      <c r="A131" s="24"/>
      <c r="G131" s="25"/>
    </row>
    <row r="132" spans="1:7">
      <c r="A132" s="24"/>
      <c r="G132" s="25"/>
    </row>
    <row r="133" spans="1:7">
      <c r="A133" s="24"/>
      <c r="G133" s="25"/>
    </row>
    <row r="134" spans="1:7">
      <c r="A134" s="24"/>
      <c r="G134" s="25"/>
    </row>
    <row r="135" spans="1:7">
      <c r="A135" s="24"/>
      <c r="G135" s="25"/>
    </row>
    <row r="136" spans="1:7">
      <c r="A136" s="24"/>
      <c r="G136" s="25"/>
    </row>
    <row r="137" spans="1:7">
      <c r="A137" s="24"/>
      <c r="G137" s="25"/>
    </row>
    <row r="138" spans="1:7">
      <c r="A138" s="24"/>
      <c r="G138" s="25"/>
    </row>
    <row r="139" spans="1:7">
      <c r="A139" s="24"/>
      <c r="G139" s="25"/>
    </row>
    <row r="140" spans="1:7">
      <c r="A140" s="24"/>
      <c r="G140" s="25"/>
    </row>
    <row r="141" spans="1:7">
      <c r="A141" s="24"/>
      <c r="G141" s="25"/>
    </row>
    <row r="142" spans="1:7">
      <c r="A142" s="24"/>
      <c r="G142" s="25"/>
    </row>
    <row r="143" spans="1:7">
      <c r="A143" s="24"/>
      <c r="G143" s="25"/>
    </row>
    <row r="144" spans="1:7">
      <c r="A144" s="24"/>
      <c r="G144" s="25"/>
    </row>
    <row r="145" spans="1:7">
      <c r="A145" s="24"/>
      <c r="G145" s="25"/>
    </row>
    <row r="146" spans="1:7">
      <c r="A146" s="24"/>
      <c r="G146" s="25"/>
    </row>
    <row r="147" spans="1:7">
      <c r="A147" s="24"/>
      <c r="G147" s="25"/>
    </row>
    <row r="148" spans="1:7">
      <c r="A148" s="24"/>
      <c r="G148" s="25"/>
    </row>
    <row r="149" spans="1:7">
      <c r="A149" s="24"/>
      <c r="G149" s="25"/>
    </row>
    <row r="150" spans="1:7">
      <c r="A150" s="24"/>
      <c r="G150" s="25"/>
    </row>
    <row r="151" spans="1:7">
      <c r="A151" s="24"/>
      <c r="G151" s="25"/>
    </row>
    <row r="152" spans="1:7">
      <c r="A152" s="24"/>
      <c r="G152" s="25"/>
    </row>
    <row r="153" spans="1:7">
      <c r="A153" s="24"/>
      <c r="G153" s="25"/>
    </row>
    <row r="154" spans="1:7">
      <c r="A154" s="24"/>
      <c r="G154" s="25"/>
    </row>
    <row r="155" spans="1:7">
      <c r="A155" s="24"/>
      <c r="G155" s="25"/>
    </row>
    <row r="156" spans="1:7">
      <c r="A156" s="24"/>
      <c r="G156" s="25"/>
    </row>
    <row r="157" spans="1:7">
      <c r="A157" s="24"/>
      <c r="G157" s="25"/>
    </row>
    <row r="158" spans="1:7">
      <c r="A158" s="24"/>
      <c r="G158" s="25"/>
    </row>
    <row r="159" spans="1:7">
      <c r="A159" s="24"/>
      <c r="G159" s="25"/>
    </row>
    <row r="160" spans="1:7">
      <c r="A160" s="24"/>
      <c r="G160" s="25"/>
    </row>
    <row r="161" spans="1:7">
      <c r="A161" s="24"/>
      <c r="G161" s="25"/>
    </row>
    <row r="162" spans="1:7">
      <c r="A162" s="24"/>
      <c r="G162" s="25"/>
    </row>
    <row r="163" spans="1:7">
      <c r="A163" s="24"/>
      <c r="G163" s="25"/>
    </row>
    <row r="164" spans="1:7">
      <c r="A164" s="24"/>
      <c r="G164" s="25"/>
    </row>
    <row r="165" spans="1:7">
      <c r="A165" s="24"/>
      <c r="G165" s="25"/>
    </row>
    <row r="166" spans="1:7">
      <c r="A166" s="24"/>
      <c r="G166" s="25"/>
    </row>
    <row r="167" spans="1:7">
      <c r="A167" s="24"/>
      <c r="G167" s="25"/>
    </row>
    <row r="168" spans="1:7">
      <c r="A168" s="24"/>
      <c r="G168" s="25"/>
    </row>
    <row r="169" spans="1:7">
      <c r="A169" s="24"/>
      <c r="G169" s="25"/>
    </row>
    <row r="170" spans="1:7">
      <c r="A170" s="24"/>
      <c r="G170" s="25"/>
    </row>
    <row r="171" spans="1:7">
      <c r="A171" s="24"/>
      <c r="G171" s="25"/>
    </row>
    <row r="172" spans="1:7">
      <c r="A172" s="24"/>
      <c r="G172" s="25"/>
    </row>
    <row r="173" spans="1:7">
      <c r="A173" s="24"/>
      <c r="G173" s="25"/>
    </row>
    <row r="174" spans="1:7">
      <c r="A174" s="24"/>
      <c r="G174" s="25"/>
    </row>
    <row r="175" spans="1:7">
      <c r="A175" s="24"/>
      <c r="G175" s="25"/>
    </row>
    <row r="176" spans="1:7">
      <c r="A176" s="24"/>
      <c r="G176" s="25"/>
    </row>
    <row r="177" spans="1:7">
      <c r="A177" s="24"/>
      <c r="G177" s="25"/>
    </row>
    <row r="178" spans="1:7">
      <c r="A178" s="24"/>
      <c r="G178" s="25"/>
    </row>
    <row r="179" spans="1:7">
      <c r="A179" s="24"/>
      <c r="G179" s="25"/>
    </row>
    <row r="180" spans="1:7">
      <c r="A180" s="24"/>
      <c r="G180" s="25"/>
    </row>
    <row r="181" spans="1:7">
      <c r="A181" s="24"/>
      <c r="G181" s="25"/>
    </row>
    <row r="182" spans="1:7">
      <c r="A182" s="24"/>
      <c r="G182" s="25"/>
    </row>
    <row r="183" spans="1:7">
      <c r="A183" s="24"/>
      <c r="G183" s="25"/>
    </row>
    <row r="184" spans="1:7">
      <c r="A184" s="24"/>
      <c r="G184" s="25"/>
    </row>
    <row r="185" spans="1:7">
      <c r="A185" s="24"/>
      <c r="G185" s="25"/>
    </row>
    <row r="186" spans="1:7">
      <c r="A186" s="24"/>
      <c r="G186" s="25"/>
    </row>
    <row r="187" spans="1:7">
      <c r="A187" s="24"/>
      <c r="G187" s="25"/>
    </row>
    <row r="188" spans="1:7">
      <c r="A188" s="24"/>
      <c r="G188" s="25"/>
    </row>
    <row r="189" spans="1:7">
      <c r="A189" s="24"/>
      <c r="G189" s="25"/>
    </row>
    <row r="190" spans="1:7">
      <c r="A190" s="24"/>
      <c r="G190" s="25"/>
    </row>
    <row r="191" spans="1:7">
      <c r="A191" s="24"/>
      <c r="G191" s="25"/>
    </row>
    <row r="192" spans="1:7">
      <c r="A192" s="24"/>
      <c r="G192" s="25"/>
    </row>
    <row r="193" spans="1:7">
      <c r="A193" s="24"/>
      <c r="G193" s="25"/>
    </row>
    <row r="194" spans="1:7">
      <c r="A194" s="24"/>
      <c r="G194" s="25"/>
    </row>
    <row r="195" spans="1:7">
      <c r="A195" s="24"/>
      <c r="G195" s="25"/>
    </row>
    <row r="196" spans="1:7">
      <c r="A196" s="24"/>
      <c r="G196" s="25"/>
    </row>
    <row r="197" spans="1:7">
      <c r="A197" s="24"/>
      <c r="G197" s="25"/>
    </row>
    <row r="198" spans="1:7">
      <c r="A198" s="24"/>
      <c r="G198" s="25"/>
    </row>
    <row r="199" spans="1:7">
      <c r="A199" s="24"/>
      <c r="G199" s="25"/>
    </row>
    <row r="200" spans="1:7">
      <c r="A200" s="24"/>
      <c r="G200" s="25"/>
    </row>
  </sheetData>
  <mergeCells count="2">
    <mergeCell ref="A1:J1"/>
    <mergeCell ref="A19:J21"/>
  </mergeCells>
  <conditionalFormatting sqref="H4:H200">
    <cfRule type="containsText" dxfId="1" priority="1" operator="between" text="完成">
      <formula>NOT(ISERROR(SEARCH("完成",H4)))</formula>
    </cfRule>
    <cfRule type="containsText" dxfId="2" priority="2" operator="between" text="进行中">
      <formula>NOT(ISERROR(SEARCH("进行中",H4)))</formula>
    </cfRule>
    <cfRule type="containsText" dxfId="0" priority="3" operator="between" text="阻塞">
      <formula>NOT(ISERROR(SEARCH("阻塞",H4)))</formula>
    </cfRule>
  </conditionalFormatting>
  <dataValidations count="1">
    <dataValidation type="list" sqref="H4:H200">
      <formula1>"未开始,进行中,完成,阻塞,跳过"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showGridLines="0" workbookViewId="0">
      <selection activeCell="A1" sqref="A1:I1"/>
    </sheetView>
  </sheetViews>
  <sheetFormatPr defaultColWidth="9" defaultRowHeight="14"/>
  <cols>
    <col min="1" max="1" width="10" customWidth="1"/>
    <col min="2" max="2" width="18.75" customWidth="1"/>
    <col min="3" max="3" width="31.25" customWidth="1"/>
    <col min="4" max="4" width="30" customWidth="1"/>
    <col min="5" max="6" width="28.75" customWidth="1"/>
    <col min="7" max="8" width="16.25" customWidth="1"/>
    <col min="9" max="9" width="32.5" customWidth="1"/>
  </cols>
  <sheetData>
    <row r="1" ht="25.5" customHeight="1" spans="1:9">
      <c r="A1" s="19" t="s">
        <v>189</v>
      </c>
      <c r="B1" s="19" t="s">
        <v>189</v>
      </c>
      <c r="C1" s="19" t="s">
        <v>189</v>
      </c>
      <c r="D1" s="19" t="s">
        <v>189</v>
      </c>
      <c r="E1" s="19" t="s">
        <v>189</v>
      </c>
      <c r="F1" s="19" t="s">
        <v>189</v>
      </c>
      <c r="G1" s="19" t="s">
        <v>189</v>
      </c>
      <c r="H1" s="19" t="s">
        <v>189</v>
      </c>
      <c r="I1" s="19" t="s">
        <v>189</v>
      </c>
    </row>
    <row r="3" spans="1:9">
      <c r="A3" s="20" t="s">
        <v>190</v>
      </c>
      <c r="B3" s="20" t="s">
        <v>191</v>
      </c>
      <c r="C3" s="20" t="s">
        <v>192</v>
      </c>
      <c r="D3" s="20" t="s">
        <v>193</v>
      </c>
      <c r="E3" s="20" t="s">
        <v>194</v>
      </c>
      <c r="F3" s="20" t="s">
        <v>195</v>
      </c>
      <c r="G3" s="20" t="s">
        <v>15</v>
      </c>
      <c r="H3" s="20" t="s">
        <v>196</v>
      </c>
      <c r="I3" s="20" t="s">
        <v>197</v>
      </c>
    </row>
    <row r="4" spans="1:9">
      <c r="A4" s="4">
        <v>1</v>
      </c>
      <c r="B4" s="4" t="s">
        <v>85</v>
      </c>
      <c r="C4" s="4" t="s">
        <v>198</v>
      </c>
      <c r="D4" s="4" t="s">
        <v>87</v>
      </c>
      <c r="E4" s="4" t="s">
        <v>199</v>
      </c>
      <c r="F4" s="4" t="s">
        <v>200</v>
      </c>
      <c r="G4" s="4" t="s">
        <v>29</v>
      </c>
      <c r="H4" s="5">
        <v>0</v>
      </c>
      <c r="I4" s="4" t="s">
        <v>131</v>
      </c>
    </row>
    <row r="5" ht="28" spans="1:9">
      <c r="A5" s="4">
        <v>2</v>
      </c>
      <c r="B5" s="4" t="s">
        <v>201</v>
      </c>
      <c r="C5" s="4" t="s">
        <v>202</v>
      </c>
      <c r="D5" s="4" t="s">
        <v>203</v>
      </c>
      <c r="E5" s="4" t="s">
        <v>204</v>
      </c>
      <c r="F5" s="4" t="s">
        <v>205</v>
      </c>
      <c r="G5" s="4" t="s">
        <v>29</v>
      </c>
      <c r="H5" s="5">
        <v>0</v>
      </c>
      <c r="I5" s="4" t="s">
        <v>131</v>
      </c>
    </row>
    <row r="6" spans="1:9">
      <c r="A6" s="4">
        <v>3</v>
      </c>
      <c r="B6" s="4" t="s">
        <v>206</v>
      </c>
      <c r="C6" s="4" t="s">
        <v>207</v>
      </c>
      <c r="D6" s="4" t="s">
        <v>208</v>
      </c>
      <c r="E6" s="4" t="s">
        <v>209</v>
      </c>
      <c r="F6" s="4" t="s">
        <v>210</v>
      </c>
      <c r="G6" s="4" t="s">
        <v>29</v>
      </c>
      <c r="H6" s="5">
        <v>0</v>
      </c>
      <c r="I6" s="4" t="s">
        <v>131</v>
      </c>
    </row>
    <row r="7" ht="28" spans="1:9">
      <c r="A7" s="4">
        <v>4</v>
      </c>
      <c r="B7" s="4" t="s">
        <v>211</v>
      </c>
      <c r="C7" s="4" t="s">
        <v>212</v>
      </c>
      <c r="D7" s="4" t="s">
        <v>71</v>
      </c>
      <c r="E7" s="4" t="s">
        <v>213</v>
      </c>
      <c r="F7" s="4" t="s">
        <v>214</v>
      </c>
      <c r="G7" s="4" t="s">
        <v>29</v>
      </c>
      <c r="H7" s="5">
        <v>0</v>
      </c>
      <c r="I7" s="4" t="s">
        <v>131</v>
      </c>
    </row>
    <row r="8" spans="1:9">
      <c r="A8" s="4">
        <v>5</v>
      </c>
      <c r="B8" s="4" t="s">
        <v>215</v>
      </c>
      <c r="C8" s="4" t="s">
        <v>216</v>
      </c>
      <c r="D8" s="4" t="s">
        <v>217</v>
      </c>
      <c r="E8" s="4" t="s">
        <v>218</v>
      </c>
      <c r="F8" s="4" t="s">
        <v>219</v>
      </c>
      <c r="G8" s="4" t="s">
        <v>29</v>
      </c>
      <c r="H8" s="5">
        <v>0</v>
      </c>
      <c r="I8" s="4" t="s">
        <v>131</v>
      </c>
    </row>
    <row r="9" spans="1:9">
      <c r="A9" s="4">
        <v>6</v>
      </c>
      <c r="B9" s="4" t="s">
        <v>220</v>
      </c>
      <c r="C9" s="4" t="s">
        <v>221</v>
      </c>
      <c r="D9" s="4" t="s">
        <v>222</v>
      </c>
      <c r="E9" s="4" t="s">
        <v>223</v>
      </c>
      <c r="F9" s="4" t="s">
        <v>224</v>
      </c>
      <c r="G9" s="4" t="s">
        <v>29</v>
      </c>
      <c r="H9" s="5">
        <v>0</v>
      </c>
      <c r="I9" s="4" t="s">
        <v>131</v>
      </c>
    </row>
    <row r="10" spans="1:9">
      <c r="A10" s="4">
        <v>7</v>
      </c>
      <c r="B10" s="4" t="s">
        <v>225</v>
      </c>
      <c r="C10" s="4" t="s">
        <v>226</v>
      </c>
      <c r="D10" s="4" t="s">
        <v>227</v>
      </c>
      <c r="E10" s="4" t="s">
        <v>228</v>
      </c>
      <c r="F10" s="4" t="s">
        <v>228</v>
      </c>
      <c r="G10" s="4" t="s">
        <v>29</v>
      </c>
      <c r="H10" s="5">
        <v>0</v>
      </c>
      <c r="I10" s="4" t="s">
        <v>131</v>
      </c>
    </row>
    <row r="11" spans="1:9">
      <c r="A11" s="4">
        <v>8</v>
      </c>
      <c r="B11" s="4" t="s">
        <v>112</v>
      </c>
      <c r="C11" s="4" t="s">
        <v>113</v>
      </c>
      <c r="D11" s="4" t="s">
        <v>229</v>
      </c>
      <c r="E11" s="4" t="s">
        <v>230</v>
      </c>
      <c r="F11" s="4" t="s">
        <v>230</v>
      </c>
      <c r="G11" s="4" t="s">
        <v>29</v>
      </c>
      <c r="H11" s="5">
        <v>0</v>
      </c>
      <c r="I11" s="4" t="s">
        <v>131</v>
      </c>
    </row>
  </sheetData>
  <mergeCells count="1">
    <mergeCell ref="A1:I1"/>
  </mergeCells>
  <conditionalFormatting sqref="H4:H1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{21b1cb05-0819-4dc7-83d5-f87db4490cf0}</x14:id>
        </ext>
      </extLst>
    </cfRule>
  </conditionalFormatting>
  <dataValidations count="1">
    <dataValidation type="list" sqref="G4:G11">
      <formula1>"未开始,进行中,完成,阻塞,跳过"</formula1>
    </dataValidation>
  </dataValidations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b1cb05-0819-4dc7-83d5-f87db4490cf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H4:H11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tabSelected="1" workbookViewId="0">
      <selection activeCell="A1" sqref="A1:G1"/>
    </sheetView>
  </sheetViews>
  <sheetFormatPr defaultColWidth="9" defaultRowHeight="14" outlineLevelCol="6"/>
  <cols>
    <col min="1" max="1" width="18.75" customWidth="1"/>
    <col min="2" max="2" width="27.5" customWidth="1"/>
    <col min="3" max="4" width="32.5" customWidth="1"/>
    <col min="5" max="5" width="18.75" customWidth="1"/>
    <col min="6" max="6" width="16.25" customWidth="1"/>
    <col min="7" max="7" width="28.75" customWidth="1"/>
  </cols>
  <sheetData>
    <row r="1" ht="25.5" customHeight="1" spans="1:7">
      <c r="A1" s="17" t="s">
        <v>231</v>
      </c>
      <c r="B1" s="17" t="s">
        <v>231</v>
      </c>
      <c r="C1" s="17" t="s">
        <v>231</v>
      </c>
      <c r="D1" s="17" t="s">
        <v>231</v>
      </c>
      <c r="E1" s="17" t="s">
        <v>231</v>
      </c>
      <c r="F1" s="17" t="s">
        <v>231</v>
      </c>
      <c r="G1" s="17" t="s">
        <v>231</v>
      </c>
    </row>
    <row r="3" spans="1:7">
      <c r="A3" s="18" t="s">
        <v>232</v>
      </c>
      <c r="B3" s="18" t="s">
        <v>48</v>
      </c>
      <c r="C3" s="18" t="s">
        <v>233</v>
      </c>
      <c r="D3" s="18" t="s">
        <v>234</v>
      </c>
      <c r="E3" s="18" t="s">
        <v>51</v>
      </c>
      <c r="F3" s="18" t="s">
        <v>15</v>
      </c>
      <c r="G3" s="18" t="s">
        <v>53</v>
      </c>
    </row>
    <row r="4" ht="28" spans="1:7">
      <c r="A4" s="4" t="s">
        <v>14</v>
      </c>
      <c r="B4" s="4" t="s">
        <v>235</v>
      </c>
      <c r="C4" s="4" t="s">
        <v>236</v>
      </c>
      <c r="D4" s="4" t="s">
        <v>237</v>
      </c>
      <c r="E4" s="4" t="s">
        <v>59</v>
      </c>
      <c r="F4" s="4" t="s">
        <v>29</v>
      </c>
      <c r="G4" s="4" t="s">
        <v>238</v>
      </c>
    </row>
    <row r="5" ht="28" spans="1:7">
      <c r="A5" s="4" t="s">
        <v>22</v>
      </c>
      <c r="B5" s="4" t="s">
        <v>63</v>
      </c>
      <c r="C5" s="4" t="s">
        <v>239</v>
      </c>
      <c r="D5" s="4" t="s">
        <v>240</v>
      </c>
      <c r="E5" s="4" t="s">
        <v>66</v>
      </c>
      <c r="F5" s="4" t="s">
        <v>16</v>
      </c>
      <c r="G5" s="4" t="s">
        <v>241</v>
      </c>
    </row>
    <row r="6" ht="28" spans="1:7">
      <c r="A6" s="4" t="s">
        <v>242</v>
      </c>
      <c r="B6" s="4" t="s">
        <v>243</v>
      </c>
      <c r="C6" s="4" t="s">
        <v>244</v>
      </c>
      <c r="D6" s="4" t="s">
        <v>245</v>
      </c>
      <c r="E6" s="4" t="s">
        <v>73</v>
      </c>
      <c r="F6" s="4" t="s">
        <v>29</v>
      </c>
      <c r="G6" s="4" t="s">
        <v>246</v>
      </c>
    </row>
    <row r="7" spans="1:7">
      <c r="A7" s="4" t="s">
        <v>247</v>
      </c>
      <c r="B7" s="4" t="s">
        <v>248</v>
      </c>
      <c r="C7" s="4" t="s">
        <v>249</v>
      </c>
      <c r="D7" s="4" t="s">
        <v>250</v>
      </c>
      <c r="E7" s="4" t="s">
        <v>251</v>
      </c>
      <c r="F7" s="4" t="s">
        <v>29</v>
      </c>
      <c r="G7" s="4" t="s">
        <v>252</v>
      </c>
    </row>
    <row r="8" ht="28" spans="1:7">
      <c r="A8" s="4" t="s">
        <v>253</v>
      </c>
      <c r="B8" s="4" t="s">
        <v>254</v>
      </c>
      <c r="C8" s="4" t="s">
        <v>255</v>
      </c>
      <c r="D8" s="4" t="s">
        <v>256</v>
      </c>
      <c r="E8" s="4" t="s">
        <v>257</v>
      </c>
      <c r="F8" s="4" t="s">
        <v>29</v>
      </c>
      <c r="G8" s="4" t="s">
        <v>258</v>
      </c>
    </row>
    <row r="9" ht="28" spans="1:7">
      <c r="A9" s="4" t="s">
        <v>259</v>
      </c>
      <c r="B9" s="4" t="s">
        <v>260</v>
      </c>
      <c r="C9" s="4" t="s">
        <v>261</v>
      </c>
      <c r="D9" s="4" t="s">
        <v>262</v>
      </c>
      <c r="E9" s="4" t="s">
        <v>257</v>
      </c>
      <c r="F9" s="4" t="s">
        <v>29</v>
      </c>
      <c r="G9" s="4" t="s">
        <v>263</v>
      </c>
    </row>
    <row r="10" spans="1:7">
      <c r="A10" s="4" t="s">
        <v>264</v>
      </c>
      <c r="B10" s="4" t="s">
        <v>265</v>
      </c>
      <c r="C10" s="4" t="s">
        <v>266</v>
      </c>
      <c r="D10" s="4" t="s">
        <v>267</v>
      </c>
      <c r="E10" s="4" t="s">
        <v>268</v>
      </c>
      <c r="F10" s="4" t="s">
        <v>29</v>
      </c>
      <c r="G10" s="4" t="s">
        <v>269</v>
      </c>
    </row>
    <row r="11" spans="1:7">
      <c r="A11" s="4" t="s">
        <v>270</v>
      </c>
      <c r="B11" s="4" t="s">
        <v>271</v>
      </c>
      <c r="C11" s="4" t="s">
        <v>272</v>
      </c>
      <c r="D11" s="4" t="s">
        <v>273</v>
      </c>
      <c r="E11" s="4" t="s">
        <v>257</v>
      </c>
      <c r="F11" s="4" t="s">
        <v>29</v>
      </c>
      <c r="G11" s="4" t="s">
        <v>274</v>
      </c>
    </row>
    <row r="12" spans="1:7">
      <c r="A12" s="4" t="s">
        <v>275</v>
      </c>
      <c r="B12" s="4" t="s">
        <v>276</v>
      </c>
      <c r="C12" s="4" t="s">
        <v>277</v>
      </c>
      <c r="D12" s="4" t="s">
        <v>278</v>
      </c>
      <c r="E12" s="4" t="s">
        <v>59</v>
      </c>
      <c r="F12" s="4" t="s">
        <v>29</v>
      </c>
      <c r="G12" s="4" t="s">
        <v>279</v>
      </c>
    </row>
    <row r="13" spans="1:7">
      <c r="A13" s="4" t="s">
        <v>280</v>
      </c>
      <c r="B13" s="4" t="s">
        <v>281</v>
      </c>
      <c r="C13" s="4" t="s">
        <v>282</v>
      </c>
      <c r="D13" s="4" t="s">
        <v>283</v>
      </c>
      <c r="E13" s="4" t="s">
        <v>257</v>
      </c>
      <c r="F13" s="4" t="s">
        <v>29</v>
      </c>
      <c r="G13" s="4" t="s">
        <v>284</v>
      </c>
    </row>
    <row r="14" spans="1:7">
      <c r="A14" s="4" t="s">
        <v>285</v>
      </c>
      <c r="B14" s="4" t="s">
        <v>286</v>
      </c>
      <c r="C14" s="4" t="s">
        <v>287</v>
      </c>
      <c r="D14" s="4" t="s">
        <v>288</v>
      </c>
      <c r="E14" s="4" t="s">
        <v>257</v>
      </c>
      <c r="F14" s="4" t="s">
        <v>29</v>
      </c>
      <c r="G14" s="4" t="s">
        <v>289</v>
      </c>
    </row>
    <row r="15" spans="1:7">
      <c r="A15" s="4" t="s">
        <v>290</v>
      </c>
      <c r="B15" s="4" t="s">
        <v>291</v>
      </c>
      <c r="C15" s="4" t="s">
        <v>292</v>
      </c>
      <c r="D15" s="4" t="s">
        <v>293</v>
      </c>
      <c r="E15" s="4" t="s">
        <v>268</v>
      </c>
      <c r="F15" s="4" t="s">
        <v>29</v>
      </c>
      <c r="G15" s="4" t="s">
        <v>294</v>
      </c>
    </row>
    <row r="16" spans="1:7">
      <c r="A16" s="4"/>
      <c r="B16" s="4"/>
      <c r="C16" s="4"/>
      <c r="D16" s="4"/>
      <c r="E16" s="4"/>
      <c r="F16" s="4"/>
      <c r="G16" s="4"/>
    </row>
  </sheetData>
  <mergeCells count="1">
    <mergeCell ref="A1:G1"/>
  </mergeCells>
  <conditionalFormatting sqref="F4:F16">
    <cfRule type="containsText" dxfId="1" priority="1" operator="between" text="完成">
      <formula>NOT(ISERROR(SEARCH("完成",F4)))</formula>
    </cfRule>
    <cfRule type="containsText" dxfId="2" priority="2" operator="between" text="进行中">
      <formula>NOT(ISERROR(SEARCH("进行中",F4)))</formula>
    </cfRule>
  </conditionalFormatting>
  <dataValidations count="1">
    <dataValidation type="list" sqref="F4:F16">
      <formula1>"未开始,进行中,完成,阻塞,跳过"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1"/>
    </sheetView>
  </sheetViews>
  <sheetFormatPr defaultColWidth="9" defaultRowHeight="14" outlineLevelCol="5"/>
  <cols>
    <col min="1" max="1" width="15" customWidth="1"/>
    <col min="2" max="2" width="35" customWidth="1"/>
    <col min="3" max="3" width="37.5" customWidth="1"/>
    <col min="4" max="4" width="27.5" customWidth="1"/>
    <col min="5" max="5" width="17.5" customWidth="1"/>
    <col min="6" max="6" width="27.5" customWidth="1"/>
  </cols>
  <sheetData>
    <row r="1" ht="25.5" customHeight="1" spans="1:6">
      <c r="A1" s="1" t="s">
        <v>295</v>
      </c>
      <c r="B1" s="1" t="s">
        <v>295</v>
      </c>
      <c r="C1" s="1" t="s">
        <v>295</v>
      </c>
      <c r="D1" s="1" t="s">
        <v>295</v>
      </c>
      <c r="E1" s="1" t="s">
        <v>295</v>
      </c>
      <c r="F1" s="1" t="s">
        <v>295</v>
      </c>
    </row>
    <row r="3" spans="1:6">
      <c r="A3" s="2" t="s">
        <v>296</v>
      </c>
      <c r="B3" s="2" t="s">
        <v>297</v>
      </c>
      <c r="C3" s="2" t="s">
        <v>298</v>
      </c>
      <c r="D3" s="2" t="s">
        <v>299</v>
      </c>
      <c r="E3" s="2" t="s">
        <v>46</v>
      </c>
      <c r="F3" s="2" t="s">
        <v>300</v>
      </c>
    </row>
    <row r="4" ht="28" spans="1:6">
      <c r="A4" s="4" t="s">
        <v>301</v>
      </c>
      <c r="B4" s="4" t="s">
        <v>302</v>
      </c>
      <c r="C4" s="4" t="s">
        <v>303</v>
      </c>
      <c r="D4" s="4" t="s">
        <v>304</v>
      </c>
      <c r="E4" s="4" t="s">
        <v>54</v>
      </c>
      <c r="F4" s="4" t="s">
        <v>305</v>
      </c>
    </row>
    <row r="5" ht="28" spans="1:6">
      <c r="A5" s="4" t="s">
        <v>306</v>
      </c>
      <c r="B5" s="4" t="s">
        <v>307</v>
      </c>
      <c r="C5" s="4" t="s">
        <v>308</v>
      </c>
      <c r="D5" s="4" t="s">
        <v>309</v>
      </c>
      <c r="E5" s="4" t="s">
        <v>54</v>
      </c>
      <c r="F5" s="4" t="s">
        <v>310</v>
      </c>
    </row>
    <row r="6" ht="28" spans="1:6">
      <c r="A6" s="4" t="s">
        <v>311</v>
      </c>
      <c r="B6" s="4" t="s">
        <v>312</v>
      </c>
      <c r="C6" s="4" t="s">
        <v>313</v>
      </c>
      <c r="D6" s="4" t="s">
        <v>314</v>
      </c>
      <c r="E6" s="4" t="s">
        <v>54</v>
      </c>
      <c r="F6" s="4" t="s">
        <v>315</v>
      </c>
    </row>
    <row r="7" ht="28" spans="1:6">
      <c r="A7" s="4" t="s">
        <v>316</v>
      </c>
      <c r="B7" s="4" t="s">
        <v>317</v>
      </c>
      <c r="C7" s="4" t="s">
        <v>318</v>
      </c>
      <c r="D7" s="4" t="s">
        <v>319</v>
      </c>
      <c r="E7" s="4" t="s">
        <v>68</v>
      </c>
      <c r="F7" s="4" t="s">
        <v>320</v>
      </c>
    </row>
    <row r="8" ht="28" spans="1:6">
      <c r="A8" s="4" t="s">
        <v>321</v>
      </c>
      <c r="B8" s="4" t="s">
        <v>322</v>
      </c>
      <c r="C8" s="4" t="s">
        <v>323</v>
      </c>
      <c r="D8" s="4" t="s">
        <v>324</v>
      </c>
      <c r="E8" s="4" t="s">
        <v>68</v>
      </c>
      <c r="F8" s="4" t="s">
        <v>325</v>
      </c>
    </row>
    <row r="9" spans="1:6">
      <c r="A9" s="4" t="s">
        <v>326</v>
      </c>
      <c r="B9" s="4" t="s">
        <v>327</v>
      </c>
      <c r="C9" s="4" t="s">
        <v>328</v>
      </c>
      <c r="D9" s="4" t="s">
        <v>329</v>
      </c>
      <c r="E9" s="4" t="s">
        <v>68</v>
      </c>
      <c r="F9" s="4" t="s">
        <v>330</v>
      </c>
    </row>
    <row r="10" ht="28" spans="1:6">
      <c r="A10" s="4" t="s">
        <v>34</v>
      </c>
      <c r="B10" s="4" t="s">
        <v>331</v>
      </c>
      <c r="C10" s="4" t="s">
        <v>332</v>
      </c>
      <c r="D10" s="4" t="s">
        <v>333</v>
      </c>
      <c r="E10" s="4" t="s">
        <v>54</v>
      </c>
      <c r="F10" s="4" t="s">
        <v>334</v>
      </c>
    </row>
    <row r="11" ht="28" spans="1:6">
      <c r="A11" s="4" t="s">
        <v>335</v>
      </c>
      <c r="B11" s="4" t="s">
        <v>336</v>
      </c>
      <c r="C11" s="4" t="s">
        <v>337</v>
      </c>
      <c r="D11" s="4" t="s">
        <v>338</v>
      </c>
      <c r="E11" s="4" t="s">
        <v>54</v>
      </c>
      <c r="F11" s="4" t="s">
        <v>339</v>
      </c>
    </row>
    <row r="12" spans="1:6">
      <c r="A12" s="4" t="s">
        <v>340</v>
      </c>
      <c r="B12" s="4" t="s">
        <v>341</v>
      </c>
      <c r="C12" s="4" t="s">
        <v>342</v>
      </c>
      <c r="D12" s="4" t="s">
        <v>343</v>
      </c>
      <c r="E12" s="4" t="s">
        <v>54</v>
      </c>
      <c r="F12" s="4" t="s">
        <v>344</v>
      </c>
    </row>
    <row r="13" spans="1:6">
      <c r="A13" s="4" t="s">
        <v>345</v>
      </c>
      <c r="B13" s="4" t="s">
        <v>346</v>
      </c>
      <c r="C13" s="4" t="s">
        <v>347</v>
      </c>
      <c r="D13" s="4" t="s">
        <v>348</v>
      </c>
      <c r="E13" s="4" t="s">
        <v>349</v>
      </c>
      <c r="F13" s="4" t="s">
        <v>350</v>
      </c>
    </row>
  </sheetData>
  <mergeCells count="1">
    <mergeCell ref="A1:F1"/>
  </mergeCells>
  <conditionalFormatting sqref="E4:E13">
    <cfRule type="containsText" dxfId="0" priority="1" operator="between" text="P0">
      <formula>NOT(ISERROR(SEARCH("P0",E4)))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showGridLines="0" workbookViewId="0">
      <selection activeCell="A1" sqref="A1:I1"/>
    </sheetView>
  </sheetViews>
  <sheetFormatPr defaultColWidth="9" defaultRowHeight="14"/>
  <cols>
    <col min="1" max="1" width="15" customWidth="1"/>
    <col min="2" max="2" width="22.5" customWidth="1"/>
    <col min="3" max="3" width="20" customWidth="1"/>
    <col min="4" max="4" width="15" customWidth="1"/>
    <col min="5" max="5" width="32.5" customWidth="1"/>
    <col min="6" max="6" width="27.5" customWidth="1"/>
    <col min="7" max="7" width="15" customWidth="1"/>
    <col min="8" max="8" width="18.75" customWidth="1"/>
    <col min="9" max="9" width="32.5" customWidth="1"/>
  </cols>
  <sheetData>
    <row r="1" ht="25.5" customHeight="1" spans="1:9">
      <c r="A1" s="15" t="s">
        <v>351</v>
      </c>
      <c r="B1" s="15" t="s">
        <v>351</v>
      </c>
      <c r="C1" s="15" t="s">
        <v>351</v>
      </c>
      <c r="D1" s="15" t="s">
        <v>351</v>
      </c>
      <c r="E1" s="15" t="s">
        <v>351</v>
      </c>
      <c r="F1" s="15" t="s">
        <v>351</v>
      </c>
      <c r="G1" s="15" t="s">
        <v>351</v>
      </c>
      <c r="H1" s="15" t="s">
        <v>351</v>
      </c>
      <c r="I1" s="15" t="s">
        <v>351</v>
      </c>
    </row>
    <row r="3" spans="1:9">
      <c r="A3" s="16" t="s">
        <v>119</v>
      </c>
      <c r="B3" s="16" t="s">
        <v>352</v>
      </c>
      <c r="C3" s="16" t="s">
        <v>353</v>
      </c>
      <c r="D3" s="16" t="s">
        <v>354</v>
      </c>
      <c r="E3" s="16" t="s">
        <v>355</v>
      </c>
      <c r="F3" s="16" t="s">
        <v>356</v>
      </c>
      <c r="G3" s="16" t="s">
        <v>15</v>
      </c>
      <c r="H3" s="16" t="s">
        <v>357</v>
      </c>
      <c r="I3" s="16" t="s">
        <v>53</v>
      </c>
    </row>
    <row r="4" spans="1:9">
      <c r="A4" s="4" t="s">
        <v>131</v>
      </c>
      <c r="B4" s="4" t="s">
        <v>131</v>
      </c>
      <c r="C4" s="4" t="s">
        <v>358</v>
      </c>
      <c r="D4" s="4" t="s">
        <v>359</v>
      </c>
      <c r="E4" s="4" t="s">
        <v>360</v>
      </c>
      <c r="F4" s="4" t="s">
        <v>361</v>
      </c>
      <c r="G4" s="4" t="s">
        <v>362</v>
      </c>
      <c r="H4" s="4" t="s">
        <v>131</v>
      </c>
      <c r="I4" s="4" t="s">
        <v>131</v>
      </c>
    </row>
    <row r="5" ht="28" spans="1:9">
      <c r="A5" s="4" t="s">
        <v>131</v>
      </c>
      <c r="B5" s="4" t="s">
        <v>131</v>
      </c>
      <c r="C5" s="4" t="s">
        <v>363</v>
      </c>
      <c r="D5" s="4" t="s">
        <v>364</v>
      </c>
      <c r="E5" s="4" t="s">
        <v>365</v>
      </c>
      <c r="F5" s="4" t="s">
        <v>366</v>
      </c>
      <c r="G5" s="4" t="s">
        <v>362</v>
      </c>
      <c r="H5" s="4" t="s">
        <v>131</v>
      </c>
      <c r="I5" s="4" t="s">
        <v>131</v>
      </c>
    </row>
    <row r="6" ht="28" spans="1:9">
      <c r="A6" s="4" t="s">
        <v>131</v>
      </c>
      <c r="B6" s="4" t="s">
        <v>131</v>
      </c>
      <c r="C6" s="4" t="s">
        <v>367</v>
      </c>
      <c r="D6" s="4" t="s">
        <v>23</v>
      </c>
      <c r="E6" s="4" t="s">
        <v>368</v>
      </c>
      <c r="F6" s="4" t="s">
        <v>369</v>
      </c>
      <c r="G6" s="4" t="s">
        <v>362</v>
      </c>
      <c r="H6" s="4" t="s">
        <v>131</v>
      </c>
      <c r="I6" s="4" t="s">
        <v>131</v>
      </c>
    </row>
    <row r="7" spans="1:9">
      <c r="A7" s="4" t="s">
        <v>131</v>
      </c>
      <c r="B7" s="4" t="s">
        <v>131</v>
      </c>
      <c r="C7" s="4" t="s">
        <v>131</v>
      </c>
      <c r="D7" s="4" t="s">
        <v>131</v>
      </c>
      <c r="E7" s="4" t="s">
        <v>131</v>
      </c>
      <c r="F7" s="4" t="s">
        <v>131</v>
      </c>
      <c r="G7" s="4" t="s">
        <v>362</v>
      </c>
      <c r="H7" s="4" t="s">
        <v>131</v>
      </c>
      <c r="I7" s="4" t="s">
        <v>131</v>
      </c>
    </row>
    <row r="8" spans="1:9">
      <c r="A8" s="4" t="s">
        <v>131</v>
      </c>
      <c r="B8" s="4" t="s">
        <v>131</v>
      </c>
      <c r="C8" s="4" t="s">
        <v>131</v>
      </c>
      <c r="D8" s="4" t="s">
        <v>131</v>
      </c>
      <c r="E8" s="4" t="s">
        <v>131</v>
      </c>
      <c r="F8" s="4" t="s">
        <v>131</v>
      </c>
      <c r="G8" s="4" t="s">
        <v>362</v>
      </c>
      <c r="H8" s="4" t="s">
        <v>131</v>
      </c>
      <c r="I8" s="4" t="s">
        <v>131</v>
      </c>
    </row>
    <row r="9" spans="1:9">
      <c r="A9" s="4" t="s">
        <v>131</v>
      </c>
      <c r="B9" s="4" t="s">
        <v>131</v>
      </c>
      <c r="C9" s="4" t="s">
        <v>131</v>
      </c>
      <c r="D9" s="4" t="s">
        <v>131</v>
      </c>
      <c r="E9" s="4" t="s">
        <v>131</v>
      </c>
      <c r="F9" s="4" t="s">
        <v>131</v>
      </c>
      <c r="G9" s="4" t="s">
        <v>362</v>
      </c>
      <c r="H9" s="4" t="s">
        <v>131</v>
      </c>
      <c r="I9" s="4" t="s">
        <v>131</v>
      </c>
    </row>
    <row r="10" spans="1:9">
      <c r="A10" s="4" t="s">
        <v>131</v>
      </c>
      <c r="B10" s="4" t="s">
        <v>131</v>
      </c>
      <c r="C10" s="4" t="s">
        <v>131</v>
      </c>
      <c r="D10" s="4" t="s">
        <v>131</v>
      </c>
      <c r="E10" s="4" t="s">
        <v>131</v>
      </c>
      <c r="F10" s="4" t="s">
        <v>131</v>
      </c>
      <c r="G10" s="4" t="s">
        <v>362</v>
      </c>
      <c r="H10" s="4" t="s">
        <v>131</v>
      </c>
      <c r="I10" s="4" t="s">
        <v>131</v>
      </c>
    </row>
    <row r="11" spans="1:9">
      <c r="A11" s="4" t="s">
        <v>131</v>
      </c>
      <c r="B11" s="4" t="s">
        <v>131</v>
      </c>
      <c r="C11" s="4" t="s">
        <v>131</v>
      </c>
      <c r="D11" s="4" t="s">
        <v>131</v>
      </c>
      <c r="E11" s="4" t="s">
        <v>131</v>
      </c>
      <c r="F11" s="4" t="s">
        <v>131</v>
      </c>
      <c r="G11" s="4" t="s">
        <v>362</v>
      </c>
      <c r="H11" s="4" t="s">
        <v>131</v>
      </c>
      <c r="I11" s="4" t="s">
        <v>131</v>
      </c>
    </row>
    <row r="12" spans="1:9">
      <c r="A12" s="4" t="s">
        <v>131</v>
      </c>
      <c r="B12" s="4" t="s">
        <v>131</v>
      </c>
      <c r="C12" s="4" t="s">
        <v>131</v>
      </c>
      <c r="D12" s="4" t="s">
        <v>131</v>
      </c>
      <c r="E12" s="4" t="s">
        <v>131</v>
      </c>
      <c r="F12" s="4" t="s">
        <v>131</v>
      </c>
      <c r="G12" s="4" t="s">
        <v>362</v>
      </c>
      <c r="H12" s="4" t="s">
        <v>131</v>
      </c>
      <c r="I12" s="4" t="s">
        <v>131</v>
      </c>
    </row>
    <row r="13" spans="1:9">
      <c r="A13" s="4" t="s">
        <v>131</v>
      </c>
      <c r="B13" s="4" t="s">
        <v>131</v>
      </c>
      <c r="C13" s="4" t="s">
        <v>131</v>
      </c>
      <c r="D13" s="4" t="s">
        <v>131</v>
      </c>
      <c r="E13" s="4" t="s">
        <v>131</v>
      </c>
      <c r="F13" s="4" t="s">
        <v>131</v>
      </c>
      <c r="G13" s="4" t="s">
        <v>362</v>
      </c>
      <c r="H13" s="4" t="s">
        <v>131</v>
      </c>
      <c r="I13" s="4" t="s">
        <v>131</v>
      </c>
    </row>
    <row r="14" spans="1:9">
      <c r="A14" s="4" t="s">
        <v>131</v>
      </c>
      <c r="B14" s="4" t="s">
        <v>131</v>
      </c>
      <c r="C14" s="4" t="s">
        <v>131</v>
      </c>
      <c r="D14" s="4" t="s">
        <v>131</v>
      </c>
      <c r="E14" s="4" t="s">
        <v>131</v>
      </c>
      <c r="F14" s="4" t="s">
        <v>131</v>
      </c>
      <c r="G14" s="4" t="s">
        <v>362</v>
      </c>
      <c r="H14" s="4" t="s">
        <v>131</v>
      </c>
      <c r="I14" s="4" t="s">
        <v>131</v>
      </c>
    </row>
    <row r="15" spans="1:9">
      <c r="A15" s="4" t="s">
        <v>131</v>
      </c>
      <c r="B15" s="4" t="s">
        <v>131</v>
      </c>
      <c r="C15" s="4" t="s">
        <v>131</v>
      </c>
      <c r="D15" s="4" t="s">
        <v>131</v>
      </c>
      <c r="E15" s="4" t="s">
        <v>131</v>
      </c>
      <c r="F15" s="4" t="s">
        <v>131</v>
      </c>
      <c r="G15" s="4" t="s">
        <v>362</v>
      </c>
      <c r="H15" s="4" t="s">
        <v>131</v>
      </c>
      <c r="I15" s="4" t="s">
        <v>131</v>
      </c>
    </row>
  </sheetData>
  <mergeCells count="1">
    <mergeCell ref="A1:I1"/>
  </mergeCells>
  <dataValidations count="2">
    <dataValidation type="list" sqref="D4:D200">
      <formula1>"主投,次投,保底"</formula1>
    </dataValidation>
    <dataValidation type="list" sqref="G4:G200">
      <formula1>"未投递,已投递,笔试,面试,Offer,拒绝,暂停"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showGridLines="0" workbookViewId="0">
      <selection activeCell="A1" sqref="A1:H1"/>
    </sheetView>
  </sheetViews>
  <sheetFormatPr defaultColWidth="9" defaultRowHeight="14" outlineLevelCol="7"/>
  <cols>
    <col min="1" max="1" width="20" customWidth="1"/>
    <col min="2" max="2" width="17.5" customWidth="1"/>
    <col min="3" max="3" width="20" customWidth="1"/>
    <col min="4" max="4" width="17.5" customWidth="1"/>
    <col min="5" max="8" width="22.5" customWidth="1"/>
  </cols>
  <sheetData>
    <row r="1" ht="25.5" customHeight="1" spans="1:8">
      <c r="A1" s="1" t="s">
        <v>370</v>
      </c>
      <c r="B1" s="1" t="s">
        <v>370</v>
      </c>
      <c r="C1" s="1" t="s">
        <v>370</v>
      </c>
      <c r="D1" s="1" t="s">
        <v>370</v>
      </c>
      <c r="E1" s="1" t="s">
        <v>370</v>
      </c>
      <c r="F1" s="1" t="s">
        <v>370</v>
      </c>
      <c r="G1" s="1" t="s">
        <v>370</v>
      </c>
      <c r="H1" s="1" t="s">
        <v>370</v>
      </c>
    </row>
    <row r="3" spans="1:8">
      <c r="A3" s="2" t="s">
        <v>371</v>
      </c>
      <c r="B3" s="2" t="s">
        <v>372</v>
      </c>
      <c r="C3" s="2" t="s">
        <v>373</v>
      </c>
      <c r="D3" s="2" t="s">
        <v>53</v>
      </c>
      <c r="F3" s="3" t="s">
        <v>78</v>
      </c>
      <c r="G3" s="3" t="s">
        <v>46</v>
      </c>
      <c r="H3" s="3" t="s">
        <v>15</v>
      </c>
    </row>
    <row r="4" spans="1:8">
      <c r="A4" s="4" t="s">
        <v>374</v>
      </c>
      <c r="B4" s="4">
        <f>ROWS(RoadmapTable[阶段])</f>
        <v>5</v>
      </c>
      <c r="C4" s="4" t="s">
        <v>375</v>
      </c>
      <c r="D4" s="4" t="s">
        <v>131</v>
      </c>
      <c r="F4" s="4" t="s">
        <v>376</v>
      </c>
      <c r="G4" s="4" t="s">
        <v>54</v>
      </c>
      <c r="H4" s="4" t="str">
        <f>RoadmapTable[[#This Row],[状态]]</f>
        <v>未开始</v>
      </c>
    </row>
    <row r="5" spans="1:8">
      <c r="A5" s="4" t="s">
        <v>377</v>
      </c>
      <c r="B5" s="4">
        <f>COUNTIF(RoadmapTable[状态],"完成")</f>
        <v>0</v>
      </c>
      <c r="C5" s="4" t="s">
        <v>378</v>
      </c>
      <c r="D5" s="4" t="s">
        <v>131</v>
      </c>
      <c r="F5" s="4" t="s">
        <v>379</v>
      </c>
      <c r="G5" s="4" t="s">
        <v>54</v>
      </c>
      <c r="H5" s="4" t="s">
        <v>131</v>
      </c>
    </row>
    <row r="6" spans="1:8">
      <c r="A6" s="4" t="s">
        <v>380</v>
      </c>
      <c r="B6" s="5">
        <f>B5/B4</f>
        <v>0</v>
      </c>
      <c r="C6" s="4" t="s">
        <v>381</v>
      </c>
      <c r="D6" s="4" t="s">
        <v>131</v>
      </c>
      <c r="F6" s="4" t="s">
        <v>382</v>
      </c>
      <c r="G6" s="4" t="s">
        <v>68</v>
      </c>
      <c r="H6" s="4" t="s">
        <v>131</v>
      </c>
    </row>
    <row r="7" spans="1:8">
      <c r="A7" s="4" t="s">
        <v>383</v>
      </c>
      <c r="B7" s="4">
        <f>ROWS(PortfolioTable[作品])</f>
        <v>13</v>
      </c>
      <c r="C7" s="4" t="s">
        <v>384</v>
      </c>
      <c r="D7" s="4" t="s">
        <v>131</v>
      </c>
      <c r="F7" s="4" t="s">
        <v>385</v>
      </c>
      <c r="G7" s="4" t="s">
        <v>54</v>
      </c>
      <c r="H7" s="4" t="s">
        <v>131</v>
      </c>
    </row>
    <row r="8" spans="1:8">
      <c r="A8" s="4" t="s">
        <v>386</v>
      </c>
      <c r="B8" s="4">
        <f>COUNTIF(PortfolioTable[状态],"完成")</f>
        <v>0</v>
      </c>
      <c r="C8" s="4" t="s">
        <v>387</v>
      </c>
      <c r="D8" s="4" t="s">
        <v>131</v>
      </c>
      <c r="F8" s="4" t="s">
        <v>388</v>
      </c>
      <c r="G8" s="4" t="s">
        <v>54</v>
      </c>
      <c r="H8" s="4" t="s">
        <v>131</v>
      </c>
    </row>
    <row r="10" spans="1:8">
      <c r="A10" s="6" t="s">
        <v>389</v>
      </c>
      <c r="B10" s="7" t="s">
        <v>389</v>
      </c>
      <c r="C10" s="7" t="s">
        <v>389</v>
      </c>
      <c r="D10" s="7" t="s">
        <v>389</v>
      </c>
      <c r="E10" s="7" t="s">
        <v>389</v>
      </c>
      <c r="F10" s="7" t="s">
        <v>389</v>
      </c>
      <c r="G10" s="7" t="s">
        <v>389</v>
      </c>
      <c r="H10" s="8" t="s">
        <v>389</v>
      </c>
    </row>
    <row r="11" spans="1:8">
      <c r="A11" s="9" t="s">
        <v>389</v>
      </c>
      <c r="B11" s="10" t="s">
        <v>389</v>
      </c>
      <c r="C11" s="10" t="s">
        <v>389</v>
      </c>
      <c r="D11" s="10" t="s">
        <v>389</v>
      </c>
      <c r="E11" s="10" t="s">
        <v>389</v>
      </c>
      <c r="F11" s="10" t="s">
        <v>389</v>
      </c>
      <c r="G11" s="10" t="s">
        <v>389</v>
      </c>
      <c r="H11" s="11" t="s">
        <v>389</v>
      </c>
    </row>
    <row r="12" spans="1:8">
      <c r="A12" s="12" t="s">
        <v>389</v>
      </c>
      <c r="B12" s="13" t="s">
        <v>389</v>
      </c>
      <c r="C12" s="13" t="s">
        <v>389</v>
      </c>
      <c r="D12" s="13" t="s">
        <v>389</v>
      </c>
      <c r="E12" s="13" t="s">
        <v>389</v>
      </c>
      <c r="F12" s="13" t="s">
        <v>389</v>
      </c>
      <c r="G12" s="13" t="s">
        <v>389</v>
      </c>
      <c r="H12" s="14" t="s">
        <v>389</v>
      </c>
    </row>
  </sheetData>
  <mergeCells count="2">
    <mergeCell ref="A1:H1"/>
    <mergeCell ref="A10:H1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阶段路线</vt:lpstr>
      <vt:lpstr>每日执行</vt:lpstr>
      <vt:lpstr>周检查</vt:lpstr>
      <vt:lpstr>作品集打包</vt:lpstr>
      <vt:lpstr>知识地图</vt:lpstr>
      <vt:lpstr>投递记录</vt:lpstr>
      <vt:lpstr>进度仪表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Tonghui</cp:lastModifiedBy>
  <dcterms:created xsi:type="dcterms:W3CDTF">2026-06-13T15:00:02Z</dcterms:created>
  <dcterms:modified xsi:type="dcterms:W3CDTF">2026-06-13T15:54:36Z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28869F6DF60F4565ABC6B3AA2AC931A7_12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